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Ledger" sheetId="2" r:id="rId5"/>
    <sheet state="visible" name="Supplies" sheetId="3" r:id="rId6"/>
    <sheet state="visible" name="Fees" sheetId="4" r:id="rId7"/>
  </sheets>
  <definedNames/>
  <calcPr/>
</workbook>
</file>

<file path=xl/sharedStrings.xml><?xml version="1.0" encoding="utf-8"?>
<sst xmlns="http://schemas.openxmlformats.org/spreadsheetml/2006/main" count="265" uniqueCount="120">
  <si>
    <t>SKU</t>
  </si>
  <si>
    <t>Listed</t>
  </si>
  <si>
    <t>Sold</t>
  </si>
  <si>
    <t>Category</t>
  </si>
  <si>
    <t>Brand</t>
  </si>
  <si>
    <t>Model #</t>
  </si>
  <si>
    <t>Item</t>
  </si>
  <si>
    <t>Spec</t>
  </si>
  <si>
    <t>Cost*</t>
  </si>
  <si>
    <t>Ref.*</t>
  </si>
  <si>
    <t>Actual Cost</t>
  </si>
  <si>
    <t>Rev*</t>
  </si>
  <si>
    <t>P/L</t>
  </si>
  <si>
    <t>ROI</t>
  </si>
  <si>
    <t>*This page subject to change</t>
  </si>
  <si>
    <t>I-1</t>
  </si>
  <si>
    <t>Appliance</t>
  </si>
  <si>
    <t>Keurig</t>
  </si>
  <si>
    <t>Coffee Machine</t>
  </si>
  <si>
    <t>Red</t>
  </si>
  <si>
    <t>*requires data protection like others</t>
  </si>
  <si>
    <t>I-2</t>
  </si>
  <si>
    <t>Electronics</t>
  </si>
  <si>
    <t>Denon</t>
  </si>
  <si>
    <t>AVR-591</t>
  </si>
  <si>
    <t>Stereo Reciever</t>
  </si>
  <si>
    <t>*Reference in Cost needs to require "I-1" not 1</t>
  </si>
  <si>
    <t>I-3</t>
  </si>
  <si>
    <t>Black</t>
  </si>
  <si>
    <t>**If posted late at night, mark 'Listed" as next day</t>
  </si>
  <si>
    <t>I-4</t>
  </si>
  <si>
    <t>K2.0-500</t>
  </si>
  <si>
    <t>I-5</t>
  </si>
  <si>
    <t>Black+Decker</t>
  </si>
  <si>
    <t>CTO6335S</t>
  </si>
  <si>
    <t>Toaster Oven</t>
  </si>
  <si>
    <t>I-6</t>
  </si>
  <si>
    <t>Canon</t>
  </si>
  <si>
    <t>LPB7110CW</t>
  </si>
  <si>
    <t>Printer</t>
  </si>
  <si>
    <t>Laser</t>
  </si>
  <si>
    <t>I-7</t>
  </si>
  <si>
    <t>K10</t>
  </si>
  <si>
    <t>I-8</t>
  </si>
  <si>
    <t>Avanti</t>
  </si>
  <si>
    <t>Mini Fridge</t>
  </si>
  <si>
    <t>1.6 cu ft</t>
  </si>
  <si>
    <t>I-9</t>
  </si>
  <si>
    <t>Teal</t>
  </si>
  <si>
    <t>X</t>
  </si>
  <si>
    <t>I-10</t>
  </si>
  <si>
    <t>Blue</t>
  </si>
  <si>
    <t>I-11</t>
  </si>
  <si>
    <t>K2.0-200</t>
  </si>
  <si>
    <t>I-12</t>
  </si>
  <si>
    <t>Brother</t>
  </si>
  <si>
    <t>DCP-J152W</t>
  </si>
  <si>
    <t>Inkjet</t>
  </si>
  <si>
    <t>I-13</t>
  </si>
  <si>
    <t>Samsung</t>
  </si>
  <si>
    <t>Television</t>
  </si>
  <si>
    <t>LCD</t>
  </si>
  <si>
    <t>I-14</t>
  </si>
  <si>
    <t>Vizio</t>
  </si>
  <si>
    <t>E321VL</t>
  </si>
  <si>
    <t>I-15</t>
  </si>
  <si>
    <t>Nuwave</t>
  </si>
  <si>
    <t>Inducion Cooktop</t>
  </si>
  <si>
    <t>I-16</t>
  </si>
  <si>
    <t>Lexmark</t>
  </si>
  <si>
    <t>S305</t>
  </si>
  <si>
    <t>I-17</t>
  </si>
  <si>
    <t>K2.0-400</t>
  </si>
  <si>
    <t>I-18</t>
  </si>
  <si>
    <t>TO1356SG</t>
  </si>
  <si>
    <t>No Legs</t>
  </si>
  <si>
    <t>I-19</t>
  </si>
  <si>
    <t>B31</t>
  </si>
  <si>
    <t>I-20</t>
  </si>
  <si>
    <t>Silver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</si>
  <si>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</si>
  <si>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</si>
  <si>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</si>
  <si>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</si>
  <si>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</si>
  <si>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</si>
  <si>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</si>
  <si>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</si>
  <si>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</si>
  <si>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</si>
  <si>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</si>
  <si>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</si>
  <si>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</si>
  <si>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Cash Account</t>
  </si>
  <si>
    <t>Credit Account</t>
  </si>
  <si>
    <t>Deposit</t>
  </si>
  <si>
    <t>Withdrawel</t>
  </si>
  <si>
    <t>Date</t>
  </si>
  <si>
    <t>Action</t>
  </si>
  <si>
    <t>G/L</t>
  </si>
  <si>
    <t>Deposits</t>
  </si>
  <si>
    <t>Purchases</t>
  </si>
  <si>
    <t>Checking</t>
  </si>
  <si>
    <t>Credit</t>
  </si>
  <si>
    <t>Sales (Rev)</t>
  </si>
  <si>
    <t>Refurb</t>
  </si>
  <si>
    <t>Transfers</t>
  </si>
  <si>
    <t>R-1</t>
  </si>
  <si>
    <t>Supplies</t>
  </si>
  <si>
    <t>R-6</t>
  </si>
  <si>
    <t>R-16</t>
  </si>
  <si>
    <t>acr</t>
  </si>
  <si>
    <t>Item(s)</t>
  </si>
  <si>
    <t>Cost</t>
  </si>
  <si>
    <t>Medium</t>
  </si>
  <si>
    <t>Keurig Carafe</t>
  </si>
  <si>
    <t>Goodwill Store</t>
  </si>
  <si>
    <t>Toner 4-pack</t>
  </si>
  <si>
    <t>Ebay.com</t>
  </si>
  <si>
    <t>Ink 4-pack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</si>
</sst>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&quot;$&quot;#,##0.00"/>
    <numFmt numFmtId="166" formatCode="\I\-000\1"/>
  </numFmts>
  <fonts count="14">
    <font>
      <sz val="10.0"/>
      <color rgb="FF000000"/>
      <name val="Arial"/>
      <scheme val="minor"/>
    </font>
    <font>
      <b/>
      <i/>
      <sz val="11.0"/>
      <color rgb="FF7F7F7F"/>
      <name val="Calibri"/>
    </font>
    <font>
      <sz val="11.0"/>
      <color theme="1"/>
      <name val="Calibri"/>
    </font>
    <font>
      <sz val="11.0"/>
      <color rgb="FF000000"/>
      <name val="Libre Baskerville"/>
    </font>
    <font>
      <color theme="1"/>
      <name val="Arial"/>
      <scheme val="minor"/>
    </font>
    <font>
      <sz val="11.0"/>
      <color rgb="FFFF0000"/>
      <name val="Calibri"/>
    </font>
    <font>
      <i/>
      <sz val="11.0"/>
      <color rgb="FF7F7F7F"/>
      <name val="Calibri"/>
    </font>
    <font>
      <b/>
      <i/>
      <sz val="11.0"/>
      <color rgb="FF3F3F3F"/>
      <name val="Calibri"/>
    </font>
    <font>
      <b/>
      <i/>
      <sz val="11.0"/>
      <color rgb="FF00B050"/>
      <name val="Libre Baskerville"/>
    </font>
    <font>
      <sz val="11.0"/>
      <color theme="1"/>
      <name val="Libre Baskerville"/>
    </font>
    <font>
      <sz val="11.0"/>
      <color rgb="FF3F3F3F"/>
      <name val="Calibri"/>
    </font>
    <font>
      <sz val="11.0"/>
      <color rgb="FF000000"/>
      <name val="Calibri"/>
    </font>
    <font>
      <u/>
      <sz val="11.0"/>
      <color rgb="FF1155CC"/>
      <name val="Libre Baskerville"/>
    </font>
    <font>
      <u/>
      <sz val="11.0"/>
      <color rgb="FF000000"/>
      <name val="Libre Baskerville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20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5" fillId="3" fontId="3" numFmtId="0" xfId="0" applyAlignment="1" applyBorder="1" applyFill="1" applyFont="1">
      <alignment vertical="bottom"/>
    </xf>
    <xf borderId="5" fillId="3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7" fillId="0" fontId="5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8" fillId="0" fontId="7" numFmtId="165" xfId="0" applyAlignment="1" applyBorder="1" applyFont="1" applyNumberFormat="1">
      <alignment horizontal="right" vertical="bottom"/>
    </xf>
    <xf borderId="9" fillId="4" fontId="8" numFmtId="165" xfId="0" applyAlignment="1" applyBorder="1" applyFill="1" applyFont="1" applyNumberFormat="1">
      <alignment horizontal="right" vertical="bottom"/>
    </xf>
    <xf borderId="9" fillId="4" fontId="8" numFmtId="10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horizontal="center" vertical="bottom"/>
    </xf>
    <xf borderId="0" fillId="0" fontId="3" numFmtId="166" xfId="0" applyAlignment="1" applyFont="1" applyNumberFormat="1">
      <alignment readingOrder="0" vertical="bottom"/>
    </xf>
    <xf borderId="0" fillId="0" fontId="4" numFmtId="0" xfId="0" applyFont="1"/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10" fillId="3" fontId="2" numFmtId="0" xfId="0" applyAlignment="1" applyBorder="1" applyFont="1">
      <alignment shrinkToFit="0" vertical="bottom" wrapText="0"/>
    </xf>
    <xf borderId="10" fillId="3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1" fillId="3" fontId="2" numFmtId="0" xfId="0" applyAlignment="1" applyBorder="1" applyFont="1">
      <alignment shrinkToFit="0" vertical="bottom" wrapText="0"/>
    </xf>
    <xf borderId="12" fillId="3" fontId="2" numFmtId="0" xfId="0" applyAlignment="1" applyBorder="1" applyFont="1">
      <alignment vertical="bottom"/>
    </xf>
    <xf borderId="0" fillId="0" fontId="2" numFmtId="0" xfId="0" applyFont="1"/>
    <xf borderId="13" fillId="3" fontId="10" numFmtId="0" xfId="0" applyAlignment="1" applyBorder="1" applyFont="1">
      <alignment horizontal="center" vertical="bottom"/>
    </xf>
    <xf borderId="14" fillId="3" fontId="10" numFmtId="0" xfId="0" applyAlignment="1" applyBorder="1" applyFont="1">
      <alignment horizontal="center" vertical="bottom"/>
    </xf>
    <xf borderId="12" fillId="3" fontId="10" numFmtId="0" xfId="0" applyAlignment="1" applyBorder="1" applyFont="1">
      <alignment horizontal="center" vertical="bottom"/>
    </xf>
    <xf borderId="11" fillId="3" fontId="10" numFmtId="0" xfId="0" applyAlignment="1" applyBorder="1" applyFont="1">
      <alignment horizontal="center" vertical="bottom"/>
    </xf>
    <xf borderId="10" fillId="3" fontId="2" numFmtId="0" xfId="0" applyAlignment="1" applyBorder="1" applyFont="1">
      <alignment readingOrder="0"/>
    </xf>
    <xf borderId="10" fillId="4" fontId="8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7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horizontal="right" readingOrder="0" vertical="bottom"/>
    </xf>
    <xf borderId="7" fillId="0" fontId="2" numFmtId="165" xfId="0" applyAlignment="1" applyBorder="1" applyFont="1" applyNumberFormat="1">
      <alignment readingOrder="0" vertical="bottom"/>
    </xf>
    <xf borderId="0" fillId="0" fontId="11" numFmtId="164" xfId="0" applyAlignment="1" applyFont="1" applyNumberFormat="1">
      <alignment horizontal="right" readingOrder="0" vertical="bottom"/>
    </xf>
    <xf borderId="7" fillId="0" fontId="2" numFmtId="0" xfId="0" applyAlignment="1" applyBorder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7" fillId="0" fontId="2" numFmtId="165" xfId="0" applyAlignment="1" applyBorder="1" applyFont="1" applyNumberFormat="1">
      <alignment horizontal="right" readingOrder="0" vertical="bottom"/>
    </xf>
    <xf borderId="15" fillId="0" fontId="2" numFmtId="0" xfId="0" applyBorder="1" applyFont="1"/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7" fillId="0" fontId="2" numFmtId="165" xfId="0" applyAlignment="1" applyBorder="1" applyFont="1" applyNumberFormat="1">
      <alignment readingOrder="0" vertical="bottom"/>
    </xf>
    <xf borderId="10" fillId="0" fontId="2" numFmtId="165" xfId="0" applyAlignment="1" applyBorder="1" applyFont="1" applyNumberFormat="1">
      <alignment horizontal="right" vertical="bottom"/>
    </xf>
    <xf borderId="10" fillId="0" fontId="2" numFmtId="165" xfId="0" applyAlignment="1" applyBorder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7" fillId="0" fontId="2" numFmtId="165" xfId="0" applyAlignment="1" applyBorder="1" applyFont="1" applyNumberFormat="1">
      <alignment horizontal="right" readingOrder="0" vertical="bottom"/>
    </xf>
    <xf borderId="0" fillId="0" fontId="2" numFmtId="165" xfId="0" applyAlignment="1" applyFont="1" applyNumberFormat="1">
      <alignment vertical="bottom"/>
    </xf>
    <xf borderId="16" fillId="3" fontId="10" numFmtId="0" xfId="0" applyAlignment="1" applyBorder="1" applyFont="1">
      <alignment horizontal="left" readingOrder="0" vertical="bottom"/>
    </xf>
    <xf borderId="17" fillId="0" fontId="2" numFmtId="165" xfId="0" applyAlignment="1" applyBorder="1" applyFont="1" applyNumberFormat="1">
      <alignment horizontal="right" vertical="bottom"/>
    </xf>
    <xf borderId="16" fillId="3" fontId="2" numFmtId="0" xfId="0" applyAlignment="1" applyBorder="1" applyFont="1">
      <alignment readingOrder="0"/>
    </xf>
    <xf borderId="16" fillId="5" fontId="11" numFmtId="165" xfId="0" applyBorder="1" applyFill="1" applyFont="1" applyNumberFormat="1"/>
    <xf borderId="16" fillId="0" fontId="2" numFmtId="165" xfId="0" applyAlignment="1" applyBorder="1" applyFont="1" applyNumberFormat="1">
      <alignment horizontal="right" vertical="bottom"/>
    </xf>
    <xf borderId="18" fillId="3" fontId="10" numFmtId="0" xfId="0" applyAlignment="1" applyBorder="1" applyFont="1">
      <alignment horizontal="left" readingOrder="0" vertical="bottom"/>
    </xf>
    <xf borderId="18" fillId="5" fontId="11" numFmtId="165" xfId="0" applyBorder="1" applyFont="1" applyNumberFormat="1"/>
    <xf borderId="19" fillId="3" fontId="2" numFmtId="0" xfId="0" applyAlignment="1" applyBorder="1" applyFont="1">
      <alignment readingOrder="0"/>
    </xf>
    <xf borderId="19" fillId="5" fontId="11" numFmtId="165" xfId="0" applyBorder="1" applyFont="1" applyNumberFormat="1"/>
    <xf borderId="13" fillId="3" fontId="2" numFmtId="0" xfId="0" applyAlignment="1" applyBorder="1" applyFont="1">
      <alignment readingOrder="0"/>
    </xf>
    <xf borderId="7" fillId="0" fontId="2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/>
    </xf>
    <xf borderId="8" fillId="0" fontId="2" numFmtId="0" xfId="0" applyAlignment="1" applyBorder="1" applyFont="1">
      <alignment readingOrder="0" shrinkToFit="0" vertical="bottom" wrapText="0"/>
    </xf>
    <xf borderId="7" fillId="0" fontId="2" numFmtId="165" xfId="0" applyAlignment="1" applyBorder="1" applyFont="1" applyNumberFormat="1">
      <alignment vertical="bottom"/>
    </xf>
    <xf borderId="7" fillId="0" fontId="2" numFmtId="165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center" vertical="bottom"/>
    </xf>
    <xf borderId="7" fillId="0" fontId="11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11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7" fillId="0" fontId="2" numFmtId="165" xfId="0" applyAlignment="1" applyBorder="1" applyFont="1" applyNumberFormat="1">
      <alignment vertical="bottom"/>
    </xf>
    <xf borderId="8" fillId="0" fontId="2" numFmtId="0" xfId="0" applyAlignment="1" applyBorder="1" applyFont="1">
      <alignment shrinkToFit="0" vertical="bottom" wrapText="0"/>
    </xf>
    <xf borderId="15" fillId="0" fontId="2" numFmtId="165" xfId="0" applyAlignment="1" applyBorder="1" applyFont="1" applyNumberFormat="1">
      <alignment readingOrder="0" vertical="bottom"/>
    </xf>
    <xf borderId="19" fillId="0" fontId="2" numFmtId="0" xfId="0" applyAlignment="1" applyBorder="1" applyFont="1">
      <alignment readingOrder="0" vertical="bottom"/>
    </xf>
    <xf borderId="15" fillId="0" fontId="2" numFmtId="165" xfId="0" applyAlignment="1" applyBorder="1" applyFont="1" applyNumberFormat="1">
      <alignment vertical="bottom"/>
    </xf>
    <xf borderId="19" fillId="0" fontId="2" numFmtId="0" xfId="0" applyAlignment="1" applyBorder="1" applyFont="1">
      <alignment vertical="bottom"/>
    </xf>
    <xf borderId="15" fillId="0" fontId="11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vertical="bottom"/>
    </xf>
    <xf borderId="6" fillId="3" fontId="3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left"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3">
    <dxf>
      <font>
        <color rgb="FFFF0000"/>
      </font>
      <fill>
        <patternFill patternType="solid">
          <fgColor rgb="FFF4C7C3"/>
          <bgColor rgb="FFF4C7C3"/>
        </patternFill>
      </fill>
      <border/>
    </dxf>
    <dxf>
      <font>
        <color rgb="FF7F7F7F"/>
      </font>
      <fill>
        <patternFill patternType="solid">
          <fgColor rgb="FFDBDBDB"/>
          <bgColor rgb="FFDBDBDB"/>
        </patternFill>
      </fill>
      <border/>
    </dxf>
    <dxf>
      <font>
        <color rgb="FF00B05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ebay.com/" TargetMode="External"/><Relationship Id="rId2" Type="http://schemas.openxmlformats.org/officeDocument/2006/relationships/hyperlink" Target="http://ebay.com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.25"/>
    <col customWidth="1" min="5" max="5" width="16.13"/>
    <col customWidth="1" min="6" max="6" width="13.75"/>
    <col customWidth="1" min="7" max="7" width="17.5"/>
    <col customWidth="1" min="8" max="8" width="21.5"/>
    <col customWidth="1" min="9" max="10" width="9.63"/>
    <col customWidth="1" min="11" max="11" width="9.13"/>
    <col customWidth="1" min="12" max="12" width="11.5"/>
    <col customWidth="1" min="13" max="13" width="8.88"/>
    <col customWidth="1" min="14" max="14" width="9.5"/>
    <col customWidth="1" min="15" max="15" width="7.88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4"/>
      <c r="B2" s="5" t="s">
        <v>0</v>
      </c>
      <c r="C2" s="6" t="s">
        <v>1</v>
      </c>
      <c r="D2" s="7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6" t="s">
        <v>10</v>
      </c>
      <c r="M2" s="7" t="s">
        <v>11</v>
      </c>
      <c r="N2" s="8" t="s">
        <v>12</v>
      </c>
      <c r="O2" s="9" t="s">
        <v>13</v>
      </c>
      <c r="P2" s="10" t="s">
        <v>14</v>
      </c>
    </row>
    <row r="3">
      <c r="A3" s="11"/>
      <c r="B3" s="12" t="s">
        <v>15</v>
      </c>
      <c r="C3" s="13">
        <v>44078.0</v>
      </c>
      <c r="D3" s="13">
        <v>44080.0</v>
      </c>
      <c r="E3" s="14" t="s">
        <v>16</v>
      </c>
      <c r="F3" s="15" t="s">
        <v>17</v>
      </c>
      <c r="G3" s="15"/>
      <c r="H3" s="15" t="s">
        <v>18</v>
      </c>
      <c r="I3" s="16" t="s">
        <v>19</v>
      </c>
      <c r="J3" s="17">
        <f>if(SUMIF(Ledger!F:F, B3, Ledger!C:C)=0, SUMIF(Ledger!M:M,B3,Ledger!J:J),SUMIF(Ledger!F:F, B3, Ledger!C:C))</f>
        <v>5.4</v>
      </c>
      <c r="K3" s="18">
        <f>SUMIF(Fees!B:B, B3, Fees!E:E)</f>
        <v>0</v>
      </c>
      <c r="L3" s="19">
        <f t="shared" ref="L3:L35" si="1">J3+K3</f>
        <v>5.4</v>
      </c>
      <c r="M3" s="20">
        <f>SUMIF(Ledger!F:F, B3, Ledger!B:B)</f>
        <v>15</v>
      </c>
      <c r="N3" s="21">
        <f t="shared" ref="N3:N35" si="2">IF(M3&gt;0, (M3-L3), 0)</f>
        <v>9.6</v>
      </c>
      <c r="O3" s="22">
        <f t="shared" ref="O3:O35" si="3">if(N3=0, 0, N3/L3)</f>
        <v>1.777777778</v>
      </c>
      <c r="P3" s="10" t="s">
        <v>20</v>
      </c>
    </row>
    <row r="4">
      <c r="A4" s="23"/>
      <c r="B4" s="12" t="s">
        <v>21</v>
      </c>
      <c r="C4" s="13"/>
      <c r="D4" s="13"/>
      <c r="E4" s="14" t="s">
        <v>22</v>
      </c>
      <c r="F4" s="15" t="s">
        <v>23</v>
      </c>
      <c r="G4" s="15" t="s">
        <v>24</v>
      </c>
      <c r="H4" s="15" t="s">
        <v>25</v>
      </c>
      <c r="I4" s="17"/>
      <c r="J4" s="17">
        <f>if(SUMIF(Ledger!F:F, B4, Ledger!C:C)=0, SUMIF(Ledger!M:M,B4,Ledger!J:J),SUMIF(Ledger!F:F, B4, Ledger!C:C))</f>
        <v>32.47</v>
      </c>
      <c r="K4" s="18">
        <f>SUMIF(Fees!B:B, B4, Fees!E:E)</f>
        <v>0</v>
      </c>
      <c r="L4" s="19">
        <f t="shared" si="1"/>
        <v>32.47</v>
      </c>
      <c r="M4" s="20">
        <f>SUMIF(Ledger!F:F, B4, Ledger!B:B)</f>
        <v>0</v>
      </c>
      <c r="N4" s="21">
        <f t="shared" si="2"/>
        <v>0</v>
      </c>
      <c r="O4" s="22">
        <f t="shared" si="3"/>
        <v>0</v>
      </c>
      <c r="P4" s="10" t="s">
        <v>26</v>
      </c>
    </row>
    <row r="5">
      <c r="A5" s="23"/>
      <c r="B5" s="12" t="s">
        <v>27</v>
      </c>
      <c r="C5" s="13">
        <v>44078.0</v>
      </c>
      <c r="D5" s="13">
        <v>44080.0</v>
      </c>
      <c r="E5" s="14" t="s">
        <v>16</v>
      </c>
      <c r="F5" s="15" t="s">
        <v>17</v>
      </c>
      <c r="G5" s="15"/>
      <c r="H5" s="15" t="s">
        <v>18</v>
      </c>
      <c r="I5" s="16" t="s">
        <v>28</v>
      </c>
      <c r="J5" s="17">
        <f>if(SUMIF(Ledger!F:F, B5, Ledger!C:C)=0, SUMIF(Ledger!M:M,B5,Ledger!J:J),SUMIF(Ledger!F:F, B5, Ledger!C:C))</f>
        <v>8.65</v>
      </c>
      <c r="K5" s="18">
        <f>SUMIF(Fees!B:B, B5, Fees!E:E)</f>
        <v>0</v>
      </c>
      <c r="L5" s="19">
        <f t="shared" si="1"/>
        <v>8.65</v>
      </c>
      <c r="M5" s="20">
        <f>SUMIF(Ledger!F:F, B5, Ledger!B:B)</f>
        <v>15</v>
      </c>
      <c r="N5" s="21">
        <f t="shared" si="2"/>
        <v>6.35</v>
      </c>
      <c r="O5" s="22">
        <f t="shared" si="3"/>
        <v>0.7341040462</v>
      </c>
      <c r="P5" s="10" t="s">
        <v>29</v>
      </c>
    </row>
    <row r="6">
      <c r="A6" s="23"/>
      <c r="B6" s="12" t="s">
        <v>30</v>
      </c>
      <c r="C6" s="13">
        <v>44078.0</v>
      </c>
      <c r="D6" s="13">
        <v>44079.0</v>
      </c>
      <c r="E6" s="14" t="s">
        <v>16</v>
      </c>
      <c r="F6" s="15" t="s">
        <v>17</v>
      </c>
      <c r="G6" s="15" t="s">
        <v>31</v>
      </c>
      <c r="H6" s="15" t="s">
        <v>18</v>
      </c>
      <c r="I6" s="17"/>
      <c r="J6" s="17">
        <f>if(SUMIF(Ledger!F:F, B6, Ledger!C:C)=0, SUMIF(Ledger!M:M,B6,Ledger!J:J),SUMIF(Ledger!F:F, B6, Ledger!C:C))</f>
        <v>8.65</v>
      </c>
      <c r="K6" s="18">
        <f>SUMIF(Fees!B:B, B6, Fees!E:E)</f>
        <v>2.15</v>
      </c>
      <c r="L6" s="19">
        <f t="shared" si="1"/>
        <v>10.8</v>
      </c>
      <c r="M6" s="20">
        <f>SUMIF(Ledger!F:F, B6, Ledger!B:B)</f>
        <v>40</v>
      </c>
      <c r="N6" s="21">
        <f t="shared" si="2"/>
        <v>29.2</v>
      </c>
      <c r="O6" s="22">
        <f t="shared" si="3"/>
        <v>2.703703704</v>
      </c>
    </row>
    <row r="7">
      <c r="A7" s="23"/>
      <c r="B7" s="12" t="s">
        <v>32</v>
      </c>
      <c r="C7" s="13">
        <v>44079.0</v>
      </c>
      <c r="D7" s="13">
        <v>44080.0</v>
      </c>
      <c r="E7" s="14" t="s">
        <v>16</v>
      </c>
      <c r="F7" s="15" t="s">
        <v>33</v>
      </c>
      <c r="G7" s="15" t="s">
        <v>34</v>
      </c>
      <c r="H7" s="24" t="s">
        <v>35</v>
      </c>
      <c r="I7" s="17"/>
      <c r="J7" s="17">
        <f>if(SUMIF(Ledger!F:F, B7, Ledger!C:C)=0, SUMIF(Ledger!M:M,B7,Ledger!J:J),SUMIF(Ledger!F:F, B7, Ledger!C:C))</f>
        <v>8.65</v>
      </c>
      <c r="K7" s="18">
        <f>SUMIF(Fees!B:B, B7, Fees!E:E)</f>
        <v>0</v>
      </c>
      <c r="L7" s="19">
        <f t="shared" si="1"/>
        <v>8.65</v>
      </c>
      <c r="M7" s="20">
        <f>SUMIF(Ledger!F:F, B7, Ledger!B:B)</f>
        <v>30</v>
      </c>
      <c r="N7" s="21">
        <f t="shared" si="2"/>
        <v>21.35</v>
      </c>
      <c r="O7" s="22">
        <f t="shared" si="3"/>
        <v>2.468208092</v>
      </c>
    </row>
    <row r="8">
      <c r="A8" s="23"/>
      <c r="B8" s="12" t="s">
        <v>36</v>
      </c>
      <c r="C8" s="13">
        <v>44092.0</v>
      </c>
      <c r="D8" s="13">
        <v>44094.0</v>
      </c>
      <c r="E8" s="14" t="s">
        <v>22</v>
      </c>
      <c r="F8" s="15" t="s">
        <v>37</v>
      </c>
      <c r="G8" s="15" t="s">
        <v>38</v>
      </c>
      <c r="H8" s="15" t="s">
        <v>39</v>
      </c>
      <c r="I8" s="16" t="s">
        <v>40</v>
      </c>
      <c r="J8" s="17">
        <f>if(SUMIF(Ledger!F:F, B8, Ledger!C:C)=0, SUMIF(Ledger!M:M,B8,Ledger!J:J),SUMIF(Ledger!F:F, B8, Ledger!C:C))</f>
        <v>21.64</v>
      </c>
      <c r="K8" s="18">
        <f>SUMIF(Fees!B:B, B8, Fees!E:E)</f>
        <v>37.67</v>
      </c>
      <c r="L8" s="19">
        <f t="shared" si="1"/>
        <v>59.31</v>
      </c>
      <c r="M8" s="20">
        <f>SUMIF(Ledger!F:F, B8, Ledger!B:B)</f>
        <v>80</v>
      </c>
      <c r="N8" s="21">
        <f t="shared" si="2"/>
        <v>20.69</v>
      </c>
      <c r="O8" s="22">
        <f t="shared" si="3"/>
        <v>0.3488450514</v>
      </c>
      <c r="Q8" s="25">
        <f>SUM(N:N)*0.2</f>
        <v>60.132</v>
      </c>
    </row>
    <row r="9">
      <c r="A9" s="23"/>
      <c r="B9" s="12" t="s">
        <v>41</v>
      </c>
      <c r="C9" s="13">
        <v>44088.0</v>
      </c>
      <c r="D9" s="13">
        <v>44088.0</v>
      </c>
      <c r="E9" s="14" t="s">
        <v>16</v>
      </c>
      <c r="F9" s="15" t="s">
        <v>17</v>
      </c>
      <c r="G9" s="15" t="s">
        <v>42</v>
      </c>
      <c r="H9" s="15" t="s">
        <v>18</v>
      </c>
      <c r="I9" s="16" t="s">
        <v>28</v>
      </c>
      <c r="J9" s="17">
        <f>if(SUMIF(Ledger!F:F, B9, Ledger!C:C)=0, SUMIF(Ledger!M:M,B9,Ledger!J:J),SUMIF(Ledger!F:F, B9, Ledger!C:C))</f>
        <v>6.48</v>
      </c>
      <c r="K9" s="18">
        <f>SUMIF(Fees!B:B, B9, Fees!E:E)</f>
        <v>0</v>
      </c>
      <c r="L9" s="19">
        <f t="shared" si="1"/>
        <v>6.48</v>
      </c>
      <c r="M9" s="20">
        <f>SUMIF(Ledger!F:F, B9, Ledger!B:B)</f>
        <v>0</v>
      </c>
      <c r="N9" s="21">
        <f t="shared" si="2"/>
        <v>0</v>
      </c>
      <c r="O9" s="22">
        <f t="shared" si="3"/>
        <v>0</v>
      </c>
    </row>
    <row r="10">
      <c r="A10" s="23"/>
      <c r="B10" s="12" t="s">
        <v>43</v>
      </c>
      <c r="C10" s="13">
        <v>44086.0</v>
      </c>
      <c r="D10" s="13">
        <v>44087.0</v>
      </c>
      <c r="E10" s="14" t="s">
        <v>16</v>
      </c>
      <c r="F10" s="15" t="s">
        <v>44</v>
      </c>
      <c r="G10" s="15"/>
      <c r="H10" s="15" t="s">
        <v>45</v>
      </c>
      <c r="I10" s="16" t="s">
        <v>46</v>
      </c>
      <c r="J10" s="17">
        <f>if(SUMIF(Ledger!F:F, B10, Ledger!C:C)=0, SUMIF(Ledger!M:M,B10,Ledger!J:J),SUMIF(Ledger!F:F, B10, Ledger!C:C))</f>
        <v>16.23</v>
      </c>
      <c r="K10" s="18">
        <f>SUMIF(Fees!B:B, B10, Fees!E:E)</f>
        <v>0</v>
      </c>
      <c r="L10" s="19">
        <f t="shared" si="1"/>
        <v>16.23</v>
      </c>
      <c r="M10" s="20">
        <f>SUMIF(Ledger!F:F, B10, Ledger!B:B)</f>
        <v>30</v>
      </c>
      <c r="N10" s="21">
        <f t="shared" si="2"/>
        <v>13.77</v>
      </c>
      <c r="O10" s="22">
        <f t="shared" si="3"/>
        <v>0.8484288355</v>
      </c>
    </row>
    <row r="11">
      <c r="A11" s="23"/>
      <c r="B11" s="12" t="s">
        <v>47</v>
      </c>
      <c r="C11" s="13">
        <v>44088.0</v>
      </c>
      <c r="D11" s="13">
        <v>44090.0</v>
      </c>
      <c r="E11" s="14" t="s">
        <v>16</v>
      </c>
      <c r="F11" s="15" t="s">
        <v>17</v>
      </c>
      <c r="G11" s="15" t="s">
        <v>42</v>
      </c>
      <c r="H11" s="15" t="s">
        <v>18</v>
      </c>
      <c r="I11" s="16" t="s">
        <v>48</v>
      </c>
      <c r="J11" s="17">
        <f>if(SUMIF(Ledger!F:F, B11, Ledger!C:C)=0, SUMIF(Ledger!M:M,B11,Ledger!J:J),SUMIF(Ledger!F:F, B11, Ledger!C:C))</f>
        <v>5.4</v>
      </c>
      <c r="K11" s="18">
        <f>SUMIF(Fees!B:B, B11, Fees!E:E)</f>
        <v>0</v>
      </c>
      <c r="L11" s="19">
        <f t="shared" si="1"/>
        <v>5.4</v>
      </c>
      <c r="M11" s="20">
        <f>SUMIF(Ledger!F:F, B11, Ledger!B:B)</f>
        <v>20</v>
      </c>
      <c r="N11" s="21">
        <f t="shared" si="2"/>
        <v>14.6</v>
      </c>
      <c r="O11" s="22">
        <f t="shared" si="3"/>
        <v>2.703703704</v>
      </c>
    </row>
    <row r="12">
      <c r="A12" s="11" t="s">
        <v>49</v>
      </c>
      <c r="B12" s="12" t="s">
        <v>50</v>
      </c>
      <c r="C12" s="13"/>
      <c r="D12" s="13"/>
      <c r="E12" s="14" t="s">
        <v>16</v>
      </c>
      <c r="F12" s="15" t="s">
        <v>17</v>
      </c>
      <c r="G12" s="15"/>
      <c r="H12" s="15"/>
      <c r="I12" s="16" t="s">
        <v>51</v>
      </c>
      <c r="J12" s="17">
        <f>if(SUMIF(Ledger!F:F, B12, Ledger!C:C)=0, SUMIF(Ledger!M:M,B12,Ledger!J:J),SUMIF(Ledger!F:F, B12, Ledger!C:C))</f>
        <v>6.48</v>
      </c>
      <c r="K12" s="18">
        <f>SUMIF(Fees!B:B, B12, Fees!E:E)</f>
        <v>0</v>
      </c>
      <c r="L12" s="19">
        <f t="shared" si="1"/>
        <v>6.48</v>
      </c>
      <c r="M12" s="20">
        <f>SUMIF(Ledger!F:F, B12, Ledger!B:B)</f>
        <v>0</v>
      </c>
      <c r="N12" s="21">
        <f t="shared" si="2"/>
        <v>0</v>
      </c>
      <c r="O12" s="22">
        <f t="shared" si="3"/>
        <v>0</v>
      </c>
    </row>
    <row r="13">
      <c r="A13" s="23"/>
      <c r="B13" s="12" t="s">
        <v>52</v>
      </c>
      <c r="C13" s="13">
        <v>44086.0</v>
      </c>
      <c r="D13" s="13">
        <v>44087.0</v>
      </c>
      <c r="E13" s="14" t="s">
        <v>16</v>
      </c>
      <c r="F13" s="15" t="s">
        <v>17</v>
      </c>
      <c r="G13" s="15" t="s">
        <v>53</v>
      </c>
      <c r="H13" s="15" t="s">
        <v>18</v>
      </c>
      <c r="I13" s="17"/>
      <c r="J13" s="17">
        <f>if(SUMIF(Ledger!F:F, B13, Ledger!C:C)=0, SUMIF(Ledger!M:M,B13,Ledger!J:J),SUMIF(Ledger!F:F, B13, Ledger!C:C))</f>
        <v>6.48</v>
      </c>
      <c r="K13" s="18">
        <f>SUMIF(Fees!B:B, B13, Fees!E:E)</f>
        <v>0</v>
      </c>
      <c r="L13" s="19">
        <f t="shared" si="1"/>
        <v>6.48</v>
      </c>
      <c r="M13" s="20">
        <f>SUMIF(Ledger!F:F, B13, Ledger!B:B)</f>
        <v>50</v>
      </c>
      <c r="N13" s="21">
        <f t="shared" si="2"/>
        <v>43.52</v>
      </c>
      <c r="O13" s="22">
        <f t="shared" si="3"/>
        <v>6.716049383</v>
      </c>
    </row>
    <row r="14">
      <c r="A14" s="23"/>
      <c r="B14" s="12" t="s">
        <v>54</v>
      </c>
      <c r="C14" s="13">
        <v>44086.0</v>
      </c>
      <c r="D14" s="13">
        <v>44087.0</v>
      </c>
      <c r="E14" s="14" t="s">
        <v>22</v>
      </c>
      <c r="F14" s="15" t="s">
        <v>55</v>
      </c>
      <c r="G14" s="15" t="s">
        <v>56</v>
      </c>
      <c r="H14" s="15" t="s">
        <v>39</v>
      </c>
      <c r="I14" s="16" t="s">
        <v>57</v>
      </c>
      <c r="J14" s="17">
        <f>if(SUMIF(Ledger!F:F, B14, Ledger!C:C)=0, SUMIF(Ledger!M:M,B14,Ledger!J:J),SUMIF(Ledger!F:F, B14, Ledger!C:C))</f>
        <v>10.81</v>
      </c>
      <c r="K14" s="18">
        <f>SUMIF(Fees!B:B, B14, Fees!E:E)</f>
        <v>0</v>
      </c>
      <c r="L14" s="19">
        <f t="shared" si="1"/>
        <v>10.81</v>
      </c>
      <c r="M14" s="20">
        <f>SUMIF(Ledger!F:F, B14, Ledger!B:B)</f>
        <v>40</v>
      </c>
      <c r="N14" s="21">
        <f t="shared" si="2"/>
        <v>29.19</v>
      </c>
      <c r="O14" s="22">
        <f t="shared" si="3"/>
        <v>2.700277521</v>
      </c>
    </row>
    <row r="15">
      <c r="A15" s="23"/>
      <c r="B15" s="12" t="s">
        <v>58</v>
      </c>
      <c r="C15" s="13"/>
      <c r="D15" s="13"/>
      <c r="E15" s="14" t="s">
        <v>22</v>
      </c>
      <c r="F15" s="15" t="s">
        <v>59</v>
      </c>
      <c r="G15" s="15"/>
      <c r="H15" s="15" t="s">
        <v>60</v>
      </c>
      <c r="I15" s="16" t="s">
        <v>61</v>
      </c>
      <c r="J15" s="17">
        <f>if(SUMIF(Ledger!F:F, B15, Ledger!C:C)=0, SUMIF(Ledger!M:M,B15,Ledger!J:J),SUMIF(Ledger!F:F, B15, Ledger!C:C))</f>
        <v>21.64</v>
      </c>
      <c r="K15" s="18">
        <f>SUMIF(Fees!B:B, B15, Fees!E:E)</f>
        <v>0</v>
      </c>
      <c r="L15" s="19">
        <f t="shared" si="1"/>
        <v>21.64</v>
      </c>
      <c r="M15" s="20">
        <f>SUMIF(Ledger!F:F, B15, Ledger!B:B)</f>
        <v>0</v>
      </c>
      <c r="N15" s="21">
        <f t="shared" si="2"/>
        <v>0</v>
      </c>
      <c r="O15" s="22">
        <f t="shared" si="3"/>
        <v>0</v>
      </c>
    </row>
    <row r="16">
      <c r="A16" s="23"/>
      <c r="B16" s="12" t="s">
        <v>62</v>
      </c>
      <c r="C16" s="13">
        <v>44086.0</v>
      </c>
      <c r="D16" s="13">
        <v>44087.0</v>
      </c>
      <c r="E16" s="14" t="s">
        <v>22</v>
      </c>
      <c r="F16" s="15" t="s">
        <v>63</v>
      </c>
      <c r="G16" s="15" t="s">
        <v>64</v>
      </c>
      <c r="H16" s="15" t="s">
        <v>60</v>
      </c>
      <c r="I16" s="16" t="s">
        <v>61</v>
      </c>
      <c r="J16" s="17">
        <f>if(SUMIF(Ledger!F:F, B16, Ledger!C:C)=0, SUMIF(Ledger!M:M,B16,Ledger!J:J),SUMIF(Ledger!F:F, B16, Ledger!C:C))</f>
        <v>24.64</v>
      </c>
      <c r="K16" s="18">
        <f>SUMIF(Fees!B:B, B16, Fees!E:E)</f>
        <v>0</v>
      </c>
      <c r="L16" s="19">
        <f t="shared" si="1"/>
        <v>24.64</v>
      </c>
      <c r="M16" s="20">
        <f>SUMIF(Ledger!F:F, B16, Ledger!B:B)</f>
        <v>40</v>
      </c>
      <c r="N16" s="21">
        <f t="shared" si="2"/>
        <v>15.36</v>
      </c>
      <c r="O16" s="22">
        <f t="shared" si="3"/>
        <v>0.6233766234</v>
      </c>
    </row>
    <row r="17">
      <c r="A17" s="23"/>
      <c r="B17" s="12" t="s">
        <v>65</v>
      </c>
      <c r="C17" s="13">
        <v>44086.0</v>
      </c>
      <c r="D17" s="13">
        <v>44088.0</v>
      </c>
      <c r="E17" s="14" t="s">
        <v>16</v>
      </c>
      <c r="F17" s="15" t="s">
        <v>66</v>
      </c>
      <c r="G17" s="15">
        <v>30201.0</v>
      </c>
      <c r="H17" s="15" t="s">
        <v>67</v>
      </c>
      <c r="I17" s="17"/>
      <c r="J17" s="17">
        <f>if(SUMIF(Ledger!F:F, B17, Ledger!C:C)=0, SUMIF(Ledger!M:M,B17,Ledger!J:J),SUMIF(Ledger!F:F, B17, Ledger!C:C))</f>
        <v>16.24</v>
      </c>
      <c r="K17" s="18">
        <f>SUMIF(Fees!B:B, B17, Fees!E:E)</f>
        <v>0</v>
      </c>
      <c r="L17" s="19">
        <f t="shared" si="1"/>
        <v>16.24</v>
      </c>
      <c r="M17" s="20">
        <f>SUMIF(Ledger!F:F, B17, Ledger!B:B)</f>
        <v>30</v>
      </c>
      <c r="N17" s="21">
        <f t="shared" si="2"/>
        <v>13.76</v>
      </c>
      <c r="O17" s="22">
        <f t="shared" si="3"/>
        <v>0.8472906404</v>
      </c>
    </row>
    <row r="18">
      <c r="A18" s="23"/>
      <c r="B18" s="12" t="s">
        <v>68</v>
      </c>
      <c r="C18" s="13">
        <v>44092.0</v>
      </c>
      <c r="D18" s="13">
        <v>44095.0</v>
      </c>
      <c r="E18" s="14" t="s">
        <v>22</v>
      </c>
      <c r="F18" s="15" t="s">
        <v>69</v>
      </c>
      <c r="G18" s="15" t="s">
        <v>70</v>
      </c>
      <c r="H18" s="15" t="s">
        <v>39</v>
      </c>
      <c r="I18" s="16" t="s">
        <v>57</v>
      </c>
      <c r="J18" s="17">
        <f>if(SUMIF(Ledger!F:F, B18, Ledger!C:C)=0, SUMIF(Ledger!M:M,B18,Ledger!J:J),SUMIF(Ledger!F:F, B18, Ledger!C:C))</f>
        <v>21.64</v>
      </c>
      <c r="K18" s="18">
        <f>SUMIF(Fees!B:B, B18, Fees!E:E)</f>
        <v>8.61</v>
      </c>
      <c r="L18" s="19">
        <f t="shared" si="1"/>
        <v>30.25</v>
      </c>
      <c r="M18" s="20">
        <f>SUMIF(Ledger!F:F, B18, Ledger!B:B)</f>
        <v>40</v>
      </c>
      <c r="N18" s="21">
        <f t="shared" si="2"/>
        <v>9.75</v>
      </c>
      <c r="O18" s="22">
        <f t="shared" si="3"/>
        <v>0.3223140496</v>
      </c>
    </row>
    <row r="19">
      <c r="A19" s="23"/>
      <c r="B19" s="12" t="s">
        <v>71</v>
      </c>
      <c r="C19" s="13">
        <v>44094.0</v>
      </c>
      <c r="D19" s="13">
        <v>44096.0</v>
      </c>
      <c r="E19" s="26"/>
      <c r="F19" s="15" t="s">
        <v>17</v>
      </c>
      <c r="G19" s="15" t="s">
        <v>72</v>
      </c>
      <c r="H19" s="15" t="s">
        <v>18</v>
      </c>
      <c r="I19" s="17"/>
      <c r="J19" s="17">
        <f>if(SUMIF(Ledger!F:F, B19, Ledger!C:C)=0, SUMIF(Ledger!M:M,B19,Ledger!J:J),SUMIF(Ledger!F:F, B19, Ledger!C:C))</f>
        <v>6.48</v>
      </c>
      <c r="K19" s="18">
        <f>SUMIF(Fees!B:B, B19, Fees!E:E)</f>
        <v>0</v>
      </c>
      <c r="L19" s="19">
        <f t="shared" si="1"/>
        <v>6.48</v>
      </c>
      <c r="M19" s="20">
        <f>SUMIF(Ledger!F:F, B19, Ledger!B:B)</f>
        <v>40</v>
      </c>
      <c r="N19" s="21">
        <f t="shared" si="2"/>
        <v>33.52</v>
      </c>
      <c r="O19" s="22">
        <f t="shared" si="3"/>
        <v>5.172839506</v>
      </c>
    </row>
    <row r="20">
      <c r="A20" s="23"/>
      <c r="B20" s="12" t="s">
        <v>73</v>
      </c>
      <c r="C20" s="13">
        <v>44094.0</v>
      </c>
      <c r="D20" s="27"/>
      <c r="E20" s="26"/>
      <c r="F20" s="15" t="s">
        <v>33</v>
      </c>
      <c r="G20" s="15" t="s">
        <v>74</v>
      </c>
      <c r="H20" s="15" t="s">
        <v>35</v>
      </c>
      <c r="I20" s="16" t="s">
        <v>75</v>
      </c>
      <c r="J20" s="17">
        <f>if(SUMIF(Ledger!F:F, B20, Ledger!C:C)=0, SUMIF(Ledger!M:M,B20,Ledger!J:J),SUMIF(Ledger!F:F, B20, Ledger!C:C))</f>
        <v>0</v>
      </c>
      <c r="K20" s="18">
        <f>SUMIF(Fees!B:B, B20, Fees!E:E)</f>
        <v>0</v>
      </c>
      <c r="L20" s="19">
        <f t="shared" si="1"/>
        <v>0</v>
      </c>
      <c r="M20" s="20">
        <f>SUMIF(Ledger!F:F, B20, Ledger!B:B)</f>
        <v>0</v>
      </c>
      <c r="N20" s="21">
        <f t="shared" si="2"/>
        <v>0</v>
      </c>
      <c r="O20" s="22">
        <f t="shared" si="3"/>
        <v>0</v>
      </c>
    </row>
    <row r="21">
      <c r="A21" s="23"/>
      <c r="B21" s="12" t="s">
        <v>76</v>
      </c>
      <c r="C21" s="13">
        <v>44094.0</v>
      </c>
      <c r="D21" s="13">
        <v>44098.0</v>
      </c>
      <c r="E21" s="26"/>
      <c r="F21" s="15" t="s">
        <v>17</v>
      </c>
      <c r="G21" s="15" t="s">
        <v>77</v>
      </c>
      <c r="H21" s="15" t="s">
        <v>18</v>
      </c>
      <c r="I21" s="16" t="s">
        <v>19</v>
      </c>
      <c r="J21" s="17">
        <f>if(SUMIF(Ledger!F:F, B21, Ledger!C:C)=0, SUMIF(Ledger!M:M,B21,Ledger!J:J),SUMIF(Ledger!F:F, B21, Ledger!C:C))</f>
        <v>0</v>
      </c>
      <c r="K21" s="18">
        <f>SUMIF(Fees!B:B, B21, Fees!E:E)</f>
        <v>0</v>
      </c>
      <c r="L21" s="19">
        <f t="shared" si="1"/>
        <v>0</v>
      </c>
      <c r="M21" s="20">
        <f>SUMIF(Ledger!F:F, B21, Ledger!B:B)</f>
        <v>20</v>
      </c>
      <c r="N21" s="21">
        <f t="shared" si="2"/>
        <v>20</v>
      </c>
      <c r="O21" s="22" t="str">
        <f t="shared" si="3"/>
        <v>#DIV/0!</v>
      </c>
    </row>
    <row r="22">
      <c r="A22" s="23"/>
      <c r="B22" s="12" t="s">
        <v>78</v>
      </c>
      <c r="C22" s="13">
        <v>44094.0</v>
      </c>
      <c r="D22" s="13">
        <v>44094.0</v>
      </c>
      <c r="E22" s="28"/>
      <c r="F22" s="29" t="s">
        <v>17</v>
      </c>
      <c r="G22" s="29" t="s">
        <v>42</v>
      </c>
      <c r="H22" s="29" t="s">
        <v>18</v>
      </c>
      <c r="I22" s="16" t="s">
        <v>79</v>
      </c>
      <c r="J22" s="17">
        <f>if(SUMIF(Ledger!F:F, B22, Ledger!C:C)=0, SUMIF(Ledger!M:M,B22,Ledger!J:J),SUMIF(Ledger!F:F, B22, Ledger!C:C))</f>
        <v>0</v>
      </c>
      <c r="K22" s="18">
        <f>SUMIF(Fees!B:B, B22, Fees!E:E)</f>
        <v>0</v>
      </c>
      <c r="L22" s="19">
        <f t="shared" si="1"/>
        <v>0</v>
      </c>
      <c r="M22" s="20">
        <f>SUMIF(Ledger!F:F, B22, Ledger!B:B)</f>
        <v>20</v>
      </c>
      <c r="N22" s="21">
        <f t="shared" si="2"/>
        <v>20</v>
      </c>
      <c r="O22" s="22" t="str">
        <f t="shared" si="3"/>
        <v>#DIV/0!</v>
      </c>
    </row>
    <row r="23">
      <c r="A23" s="23"/>
      <c r="B23" s="12" t="s">
        <v>80</v>
      </c>
      <c r="C23" s="13">
        <v>44094.0</v>
      </c>
      <c r="D23" s="13"/>
      <c r="E23" s="28"/>
      <c r="F23" s="29" t="s">
        <v>17</v>
      </c>
      <c r="G23" s="29" t="s">
        <v>42</v>
      </c>
      <c r="H23" s="29" t="s">
        <v>18</v>
      </c>
      <c r="I23" s="16" t="s">
        <v>28</v>
      </c>
      <c r="J23" s="17">
        <f>if(SUMIF(Ledger!F:F, B23, Ledger!C:C)=0, SUMIF(Ledger!M:M,B23,Ledger!J:J),SUMIF(Ledger!F:F, B23, Ledger!C:C))</f>
        <v>0</v>
      </c>
      <c r="K23" s="18">
        <f>SUMIF(Fees!B:B, B23, Fees!E:E)</f>
        <v>0</v>
      </c>
      <c r="L23" s="19">
        <f t="shared" si="1"/>
        <v>0</v>
      </c>
      <c r="M23" s="20">
        <f>SUMIF(Ledger!F:F, B23, Ledger!B:B)</f>
        <v>0</v>
      </c>
      <c r="N23" s="21">
        <f t="shared" si="2"/>
        <v>0</v>
      </c>
      <c r="O23" s="22">
        <f t="shared" si="3"/>
        <v>0</v>
      </c>
    </row>
    <row r="24">
      <c r="A24" s="23"/>
      <c r="B24" s="12" t="s">
        <v>81</v>
      </c>
      <c r="C24" s="13"/>
      <c r="D24" s="13"/>
      <c r="E24" s="28"/>
      <c r="F24" s="29" t="s">
        <v>17</v>
      </c>
      <c r="G24" s="29"/>
      <c r="H24" s="29"/>
      <c r="I24" s="17"/>
      <c r="J24" s="17">
        <f>if(SUMIF(Ledger!F:F, B24, Ledger!C:C)=0, SUMIF(Ledger!M:M,B24,Ledger!J:J),SUMIF(Ledger!F:F, B24, Ledger!C:C))</f>
        <v>0</v>
      </c>
      <c r="K24" s="18">
        <f>SUMIF(Fees!B:B, B24, Fees!E:E)</f>
        <v>0</v>
      </c>
      <c r="L24" s="19">
        <f t="shared" si="1"/>
        <v>0</v>
      </c>
      <c r="M24" s="20">
        <f>SUMIF(Ledger!F:F, B24, Ledger!B:B)</f>
        <v>0</v>
      </c>
      <c r="N24" s="21">
        <f t="shared" si="2"/>
        <v>0</v>
      </c>
      <c r="O24" s="22">
        <f t="shared" si="3"/>
        <v>0</v>
      </c>
    </row>
    <row r="25">
      <c r="A25" s="23"/>
      <c r="B25" s="12" t="s">
        <v>82</v>
      </c>
      <c r="C25" s="13"/>
      <c r="D25" s="13"/>
      <c r="E25" s="28"/>
      <c r="F25" s="29" t="s">
        <v>17</v>
      </c>
      <c r="G25" s="29"/>
      <c r="H25" s="29"/>
      <c r="I25" s="17"/>
      <c r="J25" s="17">
        <f>if(SUMIF(Ledger!F:F, B25, Ledger!C:C)=0, SUMIF(Ledger!M:M,B25,Ledger!J:J),SUMIF(Ledger!F:F, B25, Ledger!C:C))</f>
        <v>0</v>
      </c>
      <c r="K25" s="18">
        <f>SUMIF(Fees!B:B, B25, Fees!E:E)</f>
        <v>0</v>
      </c>
      <c r="L25" s="19">
        <f t="shared" si="1"/>
        <v>0</v>
      </c>
      <c r="M25" s="20">
        <f>SUMIF(Ledger!F:F, B25, Ledger!B:B)</f>
        <v>0</v>
      </c>
      <c r="N25" s="21">
        <f t="shared" si="2"/>
        <v>0</v>
      </c>
      <c r="O25" s="22">
        <f t="shared" si="3"/>
        <v>0</v>
      </c>
    </row>
    <row r="26">
      <c r="A26" s="23"/>
      <c r="B26" s="12" t="s">
        <v>83</v>
      </c>
      <c r="C26" s="13"/>
      <c r="D26" s="13"/>
      <c r="E26" s="28"/>
      <c r="F26" s="29" t="s">
        <v>17</v>
      </c>
      <c r="G26" s="29"/>
      <c r="H26" s="29"/>
      <c r="I26" s="17"/>
      <c r="J26" s="17">
        <f>if(SUMIF(Ledger!F:F, B26, Ledger!C:C)=0, SUMIF(Ledger!M:M,B26,Ledger!J:J),SUMIF(Ledger!F:F, B26, Ledger!C:C))</f>
        <v>0</v>
      </c>
      <c r="K26" s="18">
        <f>SUMIF(Fees!B:B, B26, Fees!E:E)</f>
        <v>0</v>
      </c>
      <c r="L26" s="19">
        <f t="shared" si="1"/>
        <v>0</v>
      </c>
      <c r="M26" s="20">
        <f>SUMIF(Ledger!F:F, B26, Ledger!B:B)</f>
        <v>0</v>
      </c>
      <c r="N26" s="21">
        <f t="shared" si="2"/>
        <v>0</v>
      </c>
      <c r="O26" s="22">
        <f t="shared" si="3"/>
        <v>0</v>
      </c>
    </row>
    <row r="27">
      <c r="A27" s="23"/>
      <c r="B27" s="12" t="s">
        <v>84</v>
      </c>
      <c r="C27" s="13"/>
      <c r="D27" s="13"/>
      <c r="E27" s="28"/>
      <c r="F27" s="28"/>
      <c r="G27" s="28"/>
      <c r="H27" s="28"/>
      <c r="I27" s="17"/>
      <c r="J27" s="17">
        <f>if(SUMIF(Ledger!F:F, B27, Ledger!C:C)=0, SUMIF(Ledger!M:M,B27,Ledger!J:J),SUMIF(Ledger!F:F, B27, Ledger!C:C))</f>
        <v>0</v>
      </c>
      <c r="K27" s="18">
        <f>SUMIF(Fees!B:B, B27, Fees!E:E)</f>
        <v>0</v>
      </c>
      <c r="L27" s="19">
        <f t="shared" si="1"/>
        <v>0</v>
      </c>
      <c r="M27" s="20">
        <f>SUMIF(Ledger!F:F, B27, Ledger!B:B)</f>
        <v>0</v>
      </c>
      <c r="N27" s="21">
        <f t="shared" si="2"/>
        <v>0</v>
      </c>
      <c r="O27" s="22">
        <f t="shared" si="3"/>
        <v>0</v>
      </c>
    </row>
    <row r="28">
      <c r="A28" s="23"/>
      <c r="B28" s="12" t="s">
        <v>85</v>
      </c>
      <c r="C28" s="13"/>
      <c r="D28" s="13"/>
      <c r="E28" s="28"/>
      <c r="F28" s="28"/>
      <c r="G28" s="28"/>
      <c r="H28" s="28"/>
      <c r="I28" s="17"/>
      <c r="J28" s="17">
        <f>if(SUMIF(Ledger!F:F, B28, Ledger!C:C)=0, SUMIF(Ledger!M:M,B28,Ledger!J:J),SUMIF(Ledger!F:F, B28, Ledger!C:C))</f>
        <v>0</v>
      </c>
      <c r="K28" s="18">
        <f>SUMIF(Fees!B:B, B28, Fees!E:E)</f>
        <v>0</v>
      </c>
      <c r="L28" s="19">
        <f t="shared" si="1"/>
        <v>0</v>
      </c>
      <c r="M28" s="20">
        <f>SUMIF(Ledger!F:F, B28, Ledger!B:B)</f>
        <v>0</v>
      </c>
      <c r="N28" s="21">
        <f t="shared" si="2"/>
        <v>0</v>
      </c>
      <c r="O28" s="22">
        <f t="shared" si="3"/>
        <v>0</v>
      </c>
    </row>
    <row r="29">
      <c r="A29" s="23"/>
      <c r="B29" s="12" t="s">
        <v>86</v>
      </c>
      <c r="C29" s="13"/>
      <c r="D29" s="13"/>
      <c r="E29" s="28"/>
      <c r="F29" s="28"/>
      <c r="G29" s="28"/>
      <c r="H29" s="28"/>
      <c r="I29" s="17"/>
      <c r="J29" s="17">
        <f>if(SUMIF(Ledger!F:F, B29, Ledger!C:C)=0, SUMIF(Ledger!M:M,B29,Ledger!J:J),SUMIF(Ledger!F:F, B29, Ledger!C:C))</f>
        <v>0</v>
      </c>
      <c r="K29" s="18">
        <f>SUMIF(Fees!B:B, B29, Fees!E:E)</f>
        <v>0</v>
      </c>
      <c r="L29" s="19">
        <f t="shared" si="1"/>
        <v>0</v>
      </c>
      <c r="M29" s="20">
        <f>SUMIF(Ledger!F:F, B29, Ledger!B:B)</f>
        <v>0</v>
      </c>
      <c r="N29" s="21">
        <f t="shared" si="2"/>
        <v>0</v>
      </c>
      <c r="O29" s="22">
        <f t="shared" si="3"/>
        <v>0</v>
      </c>
    </row>
    <row r="30">
      <c r="A30" s="23"/>
      <c r="B30" s="12" t="s">
        <v>87</v>
      </c>
      <c r="C30" s="13"/>
      <c r="D30" s="13"/>
      <c r="E30" s="28"/>
      <c r="F30" s="28"/>
      <c r="G30" s="28"/>
      <c r="H30" s="28"/>
      <c r="I30" s="17"/>
      <c r="J30" s="17">
        <f>if(SUMIF(Ledger!F:F, B30, Ledger!C:C)=0, SUMIF(Ledger!M:M,B30,Ledger!J:J),SUMIF(Ledger!F:F, B30, Ledger!C:C))</f>
        <v>0</v>
      </c>
      <c r="K30" s="18">
        <f>SUMIF(Fees!B:B, B30, Fees!E:E)</f>
        <v>0</v>
      </c>
      <c r="L30" s="19">
        <f t="shared" si="1"/>
        <v>0</v>
      </c>
      <c r="M30" s="20">
        <f>SUMIF(Ledger!F:F, B30, Ledger!B:B)</f>
        <v>0</v>
      </c>
      <c r="N30" s="21">
        <f t="shared" si="2"/>
        <v>0</v>
      </c>
      <c r="O30" s="22">
        <f t="shared" si="3"/>
        <v>0</v>
      </c>
    </row>
    <row r="31">
      <c r="A31" s="23"/>
      <c r="B31" s="12" t="s">
        <v>88</v>
      </c>
      <c r="C31" s="13"/>
      <c r="D31" s="13"/>
      <c r="E31" s="28"/>
      <c r="F31" s="28"/>
      <c r="G31" s="28"/>
      <c r="H31" s="28"/>
      <c r="I31" s="17"/>
      <c r="J31" s="17">
        <f>if(SUMIF(Ledger!F:F, B31, Ledger!C:C)=0, SUMIF(Ledger!M:M,B31,Ledger!J:J),SUMIF(Ledger!F:F, B31, Ledger!C:C))</f>
        <v>0</v>
      </c>
      <c r="K31" s="18">
        <f>SUMIF(Fees!B:B, B31, Fees!E:E)</f>
        <v>0</v>
      </c>
      <c r="L31" s="19">
        <f t="shared" si="1"/>
        <v>0</v>
      </c>
      <c r="M31" s="20">
        <f>SUMIF(Ledger!F:F, B31, Ledger!B:B)</f>
        <v>0</v>
      </c>
      <c r="N31" s="21">
        <f t="shared" si="2"/>
        <v>0</v>
      </c>
      <c r="O31" s="22">
        <f t="shared" si="3"/>
        <v>0</v>
      </c>
    </row>
    <row r="32">
      <c r="A32" s="23"/>
      <c r="B32" s="12" t="s">
        <v>89</v>
      </c>
      <c r="C32" s="13"/>
      <c r="D32" s="13"/>
      <c r="E32" s="28"/>
      <c r="F32" s="28"/>
      <c r="G32" s="28"/>
      <c r="H32" s="28"/>
      <c r="I32" s="17"/>
      <c r="J32" s="17">
        <f>if(SUMIF(Ledger!F:F, B32, Ledger!C:C)=0, SUMIF(Ledger!M:M,B32,Ledger!J:J),SUMIF(Ledger!F:F, B32, Ledger!C:C))</f>
        <v>0</v>
      </c>
      <c r="K32" s="18">
        <f>SUMIF(Fees!B:B, B32, Fees!E:E)</f>
        <v>0</v>
      </c>
      <c r="L32" s="19">
        <f t="shared" si="1"/>
        <v>0</v>
      </c>
      <c r="M32" s="20">
        <f>SUMIF(Ledger!F:F, B32, Ledger!B:B)</f>
        <v>0</v>
      </c>
      <c r="N32" s="21">
        <f t="shared" si="2"/>
        <v>0</v>
      </c>
      <c r="O32" s="22">
        <f t="shared" si="3"/>
        <v>0</v>
      </c>
    </row>
    <row r="33">
      <c r="A33" s="23"/>
      <c r="B33" s="12" t="s">
        <v>90</v>
      </c>
      <c r="C33" s="13"/>
      <c r="D33" s="13"/>
      <c r="E33" s="28"/>
      <c r="F33" s="28"/>
      <c r="G33" s="28"/>
      <c r="H33" s="28"/>
      <c r="I33" s="17"/>
      <c r="J33" s="17">
        <f>if(SUMIF(Ledger!F:F, B33, Ledger!C:C)=0, SUMIF(Ledger!M:M,B33,Ledger!J:J),SUMIF(Ledger!F:F, B33, Ledger!C:C))</f>
        <v>0</v>
      </c>
      <c r="K33" s="18">
        <f>SUMIF(Fees!B:B, B33, Fees!E:E)</f>
        <v>0</v>
      </c>
      <c r="L33" s="19">
        <f t="shared" si="1"/>
        <v>0</v>
      </c>
      <c r="M33" s="20">
        <f>SUMIF(Ledger!F:F, B33, Ledger!B:B)</f>
        <v>0</v>
      </c>
      <c r="N33" s="21">
        <f t="shared" si="2"/>
        <v>0</v>
      </c>
      <c r="O33" s="22">
        <f t="shared" si="3"/>
        <v>0</v>
      </c>
    </row>
    <row r="34">
      <c r="A34" s="23"/>
      <c r="B34" s="12" t="s">
        <v>91</v>
      </c>
      <c r="C34" s="13"/>
      <c r="D34" s="13"/>
      <c r="E34" s="28"/>
      <c r="F34" s="28"/>
      <c r="G34" s="28"/>
      <c r="H34" s="28"/>
      <c r="I34" s="17"/>
      <c r="J34" s="17">
        <f>if(SUMIF(Ledger!F:F, B34, Ledger!C:C)=0, SUMIF(Ledger!M:M,B34,Ledger!J:J),SUMIF(Ledger!F:F, B34, Ledger!C:C))</f>
        <v>0</v>
      </c>
      <c r="K34" s="18">
        <f>SUMIF(Fees!B:B, B34, Fees!E:E)</f>
        <v>0</v>
      </c>
      <c r="L34" s="19">
        <f t="shared" si="1"/>
        <v>0</v>
      </c>
      <c r="M34" s="20">
        <f>SUMIF(Ledger!F:F, B34, Ledger!B:B)</f>
        <v>0</v>
      </c>
      <c r="N34" s="21">
        <f t="shared" si="2"/>
        <v>0</v>
      </c>
      <c r="O34" s="22">
        <f t="shared" si="3"/>
        <v>0</v>
      </c>
    </row>
    <row r="35">
      <c r="A35" s="23"/>
      <c r="B35" s="12" t="s">
        <v>92</v>
      </c>
      <c r="C35" s="13"/>
      <c r="D35" s="13"/>
      <c r="E35" s="28"/>
      <c r="F35" s="28"/>
      <c r="G35" s="28"/>
      <c r="H35" s="28"/>
      <c r="I35" s="17"/>
      <c r="J35" s="17">
        <f>if(SUMIF(Ledger!F:F, B35, Ledger!C:C)=0, SUMIF(Ledger!M:M,B35,Ledger!J:J),SUMIF(Ledger!F:F, B35, Ledger!C:C))</f>
        <v>0</v>
      </c>
      <c r="K35" s="18">
        <f>SUMIF(Fees!B:B, B35, Fees!E:E)</f>
        <v>0</v>
      </c>
      <c r="L35" s="19">
        <f t="shared" si="1"/>
        <v>0</v>
      </c>
      <c r="M35" s="20">
        <f>SUMIF(Ledger!F:F, B35, Ledger!B:B)</f>
        <v>0</v>
      </c>
      <c r="N35" s="21">
        <f t="shared" si="2"/>
        <v>0</v>
      </c>
      <c r="O35" s="22">
        <f t="shared" si="3"/>
        <v>0</v>
      </c>
    </row>
  </sheetData>
  <conditionalFormatting sqref="N3:O35">
    <cfRule type="cellIs" dxfId="0" priority="1" operator="lessThan">
      <formula>0</formula>
    </cfRule>
  </conditionalFormatting>
  <conditionalFormatting sqref="N3:O35">
    <cfRule type="cellIs" dxfId="1" priority="2" operator="equal">
      <formula>0</formula>
    </cfRule>
  </conditionalFormatting>
  <conditionalFormatting sqref="N3:O35">
    <cfRule type="cellIs" dxfId="2" priority="3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8.63"/>
    <col customWidth="1" min="3" max="3" width="9.63"/>
    <col customWidth="1" min="4" max="4" width="8.38"/>
    <col customWidth="1" min="5" max="5" width="12.0"/>
    <col customWidth="1" min="6" max="6" width="4.0"/>
    <col customWidth="1" min="7" max="7" width="2.75"/>
    <col customWidth="1" min="8" max="8" width="2.88"/>
    <col customWidth="1" min="9" max="9" width="8.63"/>
    <col customWidth="1" min="10" max="10" width="9.5"/>
    <col customWidth="1" min="11" max="11" width="8.63"/>
    <col customWidth="1" min="12" max="12" width="10.75"/>
    <col customWidth="1" min="13" max="13" width="4.5"/>
    <col customWidth="1" min="14" max="14" width="3.38"/>
    <col customWidth="1" min="15" max="15" width="9.13"/>
    <col customWidth="1" min="16" max="16" width="8.38"/>
    <col customWidth="1" min="17" max="17" width="3.75"/>
    <col customWidth="1" min="18" max="18" width="8.25"/>
    <col customWidth="1" min="19" max="19" width="9.0"/>
    <col customWidth="1" min="20" max="20" width="3.88"/>
    <col customWidth="1" min="21" max="21" width="8.25"/>
    <col customWidth="1" min="22" max="22" width="6.88"/>
  </cols>
  <sheetData>
    <row r="1">
      <c r="A1" s="30" t="s">
        <v>93</v>
      </c>
      <c r="B1" s="31"/>
      <c r="C1" s="32"/>
      <c r="D1" s="32"/>
      <c r="E1" s="32"/>
      <c r="F1" s="32"/>
      <c r="G1" s="32"/>
      <c r="H1" s="33" t="s">
        <v>94</v>
      </c>
      <c r="I1" s="34"/>
      <c r="J1" s="32"/>
      <c r="K1" s="32"/>
      <c r="L1" s="32"/>
      <c r="M1" s="32"/>
      <c r="N1" s="32"/>
      <c r="O1" s="35"/>
      <c r="P1" s="35"/>
      <c r="Q1" s="35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32"/>
      <c r="B2" s="36" t="s">
        <v>95</v>
      </c>
      <c r="C2" s="37" t="s">
        <v>96</v>
      </c>
      <c r="D2" s="37" t="s">
        <v>97</v>
      </c>
      <c r="E2" s="37" t="s">
        <v>98</v>
      </c>
      <c r="F2" s="38" t="s">
        <v>0</v>
      </c>
      <c r="G2" s="32"/>
      <c r="H2" s="32"/>
      <c r="I2" s="39" t="s">
        <v>95</v>
      </c>
      <c r="J2" s="37" t="s">
        <v>96</v>
      </c>
      <c r="K2" s="37" t="s">
        <v>97</v>
      </c>
      <c r="L2" s="37" t="s">
        <v>98</v>
      </c>
      <c r="M2" s="38" t="s">
        <v>0</v>
      </c>
      <c r="N2" s="32"/>
      <c r="O2" s="40" t="s">
        <v>99</v>
      </c>
      <c r="P2" s="41">
        <f>P6-P9</f>
        <v>422.39</v>
      </c>
      <c r="Q2" s="35"/>
      <c r="R2" s="35"/>
      <c r="S2" s="35"/>
      <c r="T2" s="42"/>
      <c r="U2" s="32"/>
      <c r="V2" s="32"/>
      <c r="W2" s="42"/>
      <c r="X2" s="32"/>
      <c r="Y2" s="32"/>
      <c r="Z2" s="32"/>
      <c r="AA2" s="32"/>
      <c r="AB2" s="32"/>
    </row>
    <row r="3">
      <c r="A3" s="43"/>
      <c r="B3" s="44">
        <v>102.01</v>
      </c>
      <c r="C3" s="45"/>
      <c r="D3" s="46">
        <v>44076.0</v>
      </c>
      <c r="E3" s="47" t="s">
        <v>100</v>
      </c>
      <c r="F3" s="12"/>
      <c r="G3" s="32"/>
      <c r="H3" s="43"/>
      <c r="I3" s="48"/>
      <c r="J3" s="49">
        <v>6.48</v>
      </c>
      <c r="K3" s="46">
        <v>44085.0</v>
      </c>
      <c r="L3" s="47" t="s">
        <v>101</v>
      </c>
      <c r="M3" s="12" t="s">
        <v>41</v>
      </c>
      <c r="N3" s="42"/>
      <c r="O3" s="50"/>
      <c r="P3" s="35"/>
      <c r="Q3" s="35"/>
      <c r="R3" s="35"/>
      <c r="S3" s="35"/>
      <c r="T3" s="42"/>
      <c r="U3" s="32"/>
      <c r="V3" s="32"/>
      <c r="W3" s="42"/>
      <c r="X3" s="32"/>
      <c r="Y3" s="32"/>
      <c r="Z3" s="32"/>
      <c r="AA3" s="32"/>
      <c r="AB3" s="32"/>
    </row>
    <row r="4">
      <c r="A4" s="43"/>
      <c r="B4" s="51"/>
      <c r="C4" s="45">
        <v>5.4</v>
      </c>
      <c r="D4" s="46">
        <v>44076.0</v>
      </c>
      <c r="E4" s="47" t="s">
        <v>101</v>
      </c>
      <c r="F4" s="12" t="s">
        <v>15</v>
      </c>
      <c r="G4" s="32"/>
      <c r="H4" s="43"/>
      <c r="I4" s="52"/>
      <c r="J4" s="53">
        <v>16.23</v>
      </c>
      <c r="K4" s="46">
        <v>44085.0</v>
      </c>
      <c r="L4" s="47" t="s">
        <v>101</v>
      </c>
      <c r="M4" s="12" t="s">
        <v>43</v>
      </c>
      <c r="N4" s="42"/>
      <c r="O4" s="40" t="s">
        <v>102</v>
      </c>
      <c r="P4" s="54">
        <f>P7-P9+P6-P8</f>
        <v>295.62</v>
      </c>
      <c r="Q4" s="35"/>
      <c r="R4" s="40" t="s">
        <v>103</v>
      </c>
      <c r="S4" s="55">
        <f>SUM(I:I)-SUM(J:J)</f>
        <v>0</v>
      </c>
      <c r="T4" s="32"/>
      <c r="U4" s="42"/>
      <c r="V4" s="32"/>
      <c r="W4" s="42"/>
      <c r="X4" s="32"/>
      <c r="Y4" s="32"/>
      <c r="Z4" s="32"/>
      <c r="AA4" s="32"/>
      <c r="AB4" s="32"/>
    </row>
    <row r="5">
      <c r="A5" s="43"/>
      <c r="B5" s="56"/>
      <c r="C5" s="57">
        <v>32.47</v>
      </c>
      <c r="D5" s="46">
        <v>44076.0</v>
      </c>
      <c r="E5" s="47" t="s">
        <v>101</v>
      </c>
      <c r="F5" s="12" t="s">
        <v>21</v>
      </c>
      <c r="G5" s="32"/>
      <c r="H5" s="43"/>
      <c r="I5" s="58"/>
      <c r="J5" s="49">
        <v>5.4</v>
      </c>
      <c r="K5" s="46">
        <v>44085.0</v>
      </c>
      <c r="L5" s="47" t="s">
        <v>101</v>
      </c>
      <c r="M5" s="12" t="s">
        <v>47</v>
      </c>
      <c r="N5" s="42"/>
      <c r="O5" s="50"/>
      <c r="P5" s="35"/>
      <c r="Q5" s="35"/>
      <c r="R5" s="50"/>
      <c r="S5" s="35"/>
      <c r="T5" s="32"/>
      <c r="U5" s="42"/>
      <c r="V5" s="32"/>
      <c r="W5" s="42"/>
      <c r="X5" s="32"/>
      <c r="Y5" s="32"/>
      <c r="Z5" s="32"/>
      <c r="AA5" s="32"/>
      <c r="AB5" s="32"/>
    </row>
    <row r="6">
      <c r="A6" s="43"/>
      <c r="B6" s="44"/>
      <c r="C6" s="45">
        <v>8.65</v>
      </c>
      <c r="D6" s="46">
        <v>44076.0</v>
      </c>
      <c r="E6" s="47" t="s">
        <v>101</v>
      </c>
      <c r="F6" s="12" t="s">
        <v>27</v>
      </c>
      <c r="G6" s="32"/>
      <c r="H6" s="43"/>
      <c r="I6" s="52"/>
      <c r="J6" s="53">
        <v>6.48</v>
      </c>
      <c r="K6" s="46">
        <v>44085.0</v>
      </c>
      <c r="L6" s="47" t="s">
        <v>101</v>
      </c>
      <c r="M6" s="12" t="s">
        <v>50</v>
      </c>
      <c r="N6" s="42"/>
      <c r="O6" s="59" t="s">
        <v>104</v>
      </c>
      <c r="P6" s="60">
        <f>SUMIF(E:E,"Sales (Rev)",B:B)</f>
        <v>510</v>
      </c>
      <c r="Q6" s="35"/>
      <c r="R6" s="61" t="s">
        <v>101</v>
      </c>
      <c r="S6" s="62">
        <f>SUMIF(L:L,"Purchases", J:J)</f>
        <v>142.52</v>
      </c>
      <c r="T6" s="32"/>
      <c r="U6" s="42"/>
      <c r="V6" s="32"/>
      <c r="W6" s="32"/>
      <c r="X6" s="32"/>
      <c r="Y6" s="32"/>
      <c r="Z6" s="32"/>
      <c r="AA6" s="32"/>
      <c r="AB6" s="32"/>
    </row>
    <row r="7">
      <c r="A7" s="43"/>
      <c r="B7" s="56"/>
      <c r="C7" s="57">
        <v>8.65</v>
      </c>
      <c r="D7" s="46">
        <v>44076.0</v>
      </c>
      <c r="E7" s="47" t="s">
        <v>101</v>
      </c>
      <c r="F7" s="12" t="s">
        <v>30</v>
      </c>
      <c r="G7" s="32"/>
      <c r="H7" s="43"/>
      <c r="I7" s="58"/>
      <c r="J7" s="49">
        <v>6.48</v>
      </c>
      <c r="K7" s="46">
        <v>44085.0</v>
      </c>
      <c r="L7" s="47" t="s">
        <v>101</v>
      </c>
      <c r="M7" s="12" t="s">
        <v>52</v>
      </c>
      <c r="N7" s="42"/>
      <c r="O7" s="59" t="s">
        <v>100</v>
      </c>
      <c r="P7" s="63">
        <f>SUMIF(E:E,"Deposits",B:B)</f>
        <v>102.01</v>
      </c>
      <c r="Q7" s="35"/>
      <c r="R7" s="61" t="s">
        <v>105</v>
      </c>
      <c r="S7" s="62">
        <f>SUMIF(L:L,"Refurb", J:J)</f>
        <v>46.28</v>
      </c>
      <c r="T7" s="32"/>
      <c r="U7" s="32"/>
      <c r="V7" s="32"/>
      <c r="W7" s="32"/>
      <c r="X7" s="32"/>
      <c r="Y7" s="32"/>
      <c r="Z7" s="32"/>
      <c r="AA7" s="32"/>
      <c r="AB7" s="32"/>
    </row>
    <row r="8">
      <c r="A8" s="43"/>
      <c r="B8" s="44"/>
      <c r="C8" s="45">
        <v>8.65</v>
      </c>
      <c r="D8" s="46">
        <v>44076.0</v>
      </c>
      <c r="E8" s="47" t="s">
        <v>101</v>
      </c>
      <c r="F8" s="12" t="s">
        <v>32</v>
      </c>
      <c r="G8" s="32"/>
      <c r="H8" s="43"/>
      <c r="I8" s="52"/>
      <c r="J8" s="53">
        <v>10.81</v>
      </c>
      <c r="K8" s="46">
        <v>44085.0</v>
      </c>
      <c r="L8" s="47" t="s">
        <v>101</v>
      </c>
      <c r="M8" s="12" t="s">
        <v>54</v>
      </c>
      <c r="N8" s="42"/>
      <c r="O8" s="64" t="s">
        <v>106</v>
      </c>
      <c r="P8" s="65">
        <f>SUMIF(E:E,"Transfers",C:C)</f>
        <v>228.78</v>
      </c>
      <c r="Q8" s="35"/>
      <c r="R8" s="66" t="s">
        <v>106</v>
      </c>
      <c r="S8" s="67">
        <f>SUMIF(L:L,"Transfers",I:I)</f>
        <v>188.8</v>
      </c>
      <c r="T8" s="32"/>
      <c r="U8" s="35"/>
      <c r="V8" s="35"/>
      <c r="W8" s="32"/>
      <c r="X8" s="32"/>
      <c r="Y8" s="32"/>
      <c r="Z8" s="32"/>
      <c r="AA8" s="32"/>
      <c r="AB8" s="32"/>
    </row>
    <row r="9">
      <c r="A9" s="43"/>
      <c r="B9" s="56"/>
      <c r="C9" s="57">
        <v>2.15</v>
      </c>
      <c r="D9" s="46">
        <v>44076.0</v>
      </c>
      <c r="E9" s="47" t="s">
        <v>101</v>
      </c>
      <c r="F9" s="12" t="s">
        <v>107</v>
      </c>
      <c r="G9" s="32"/>
      <c r="H9" s="43"/>
      <c r="I9" s="58"/>
      <c r="J9" s="49">
        <v>21.64</v>
      </c>
      <c r="K9" s="46">
        <v>44085.0</v>
      </c>
      <c r="L9" s="47" t="s">
        <v>101</v>
      </c>
      <c r="M9" s="12" t="s">
        <v>58</v>
      </c>
      <c r="N9" s="42"/>
      <c r="O9" s="64" t="s">
        <v>101</v>
      </c>
      <c r="P9" s="65">
        <f>SUMIF(E:E,"Purchases",C:C)</f>
        <v>87.61</v>
      </c>
      <c r="Q9" s="35"/>
      <c r="R9" s="68" t="s">
        <v>108</v>
      </c>
      <c r="S9" s="65">
        <f>SUMIF(L:L,"Supplies",J:J)</f>
        <v>0</v>
      </c>
      <c r="T9" s="32"/>
      <c r="U9" s="32"/>
      <c r="V9" s="32"/>
      <c r="W9" s="32"/>
      <c r="X9" s="32"/>
      <c r="Y9" s="32"/>
      <c r="Z9" s="32"/>
      <c r="AA9" s="32"/>
      <c r="AB9" s="32"/>
    </row>
    <row r="10">
      <c r="A10" s="43"/>
      <c r="B10" s="44"/>
      <c r="C10" s="45">
        <v>21.64</v>
      </c>
      <c r="D10" s="46">
        <v>44076.0</v>
      </c>
      <c r="E10" s="47" t="s">
        <v>101</v>
      </c>
      <c r="F10" s="12" t="s">
        <v>36</v>
      </c>
      <c r="G10" s="32"/>
      <c r="H10" s="43"/>
      <c r="I10" s="52"/>
      <c r="J10" s="53">
        <v>24.64</v>
      </c>
      <c r="K10" s="46">
        <v>44085.0</v>
      </c>
      <c r="L10" s="47" t="s">
        <v>101</v>
      </c>
      <c r="M10" s="12" t="s">
        <v>62</v>
      </c>
      <c r="N10" s="42"/>
      <c r="Q10" s="35"/>
      <c r="T10" s="32"/>
      <c r="U10" s="32"/>
      <c r="V10" s="32"/>
      <c r="W10" s="32"/>
      <c r="X10" s="32"/>
      <c r="Y10" s="32"/>
      <c r="Z10" s="32"/>
      <c r="AA10" s="32"/>
      <c r="AB10" s="32"/>
    </row>
    <row r="11">
      <c r="A11" s="43"/>
      <c r="B11" s="56">
        <v>40.0</v>
      </c>
      <c r="C11" s="69"/>
      <c r="D11" s="46">
        <v>44079.0</v>
      </c>
      <c r="E11" s="47" t="s">
        <v>104</v>
      </c>
      <c r="F11" s="12" t="s">
        <v>30</v>
      </c>
      <c r="G11" s="32"/>
      <c r="H11" s="43"/>
      <c r="I11" s="58"/>
      <c r="J11" s="49">
        <v>16.24</v>
      </c>
      <c r="K11" s="46">
        <v>44085.0</v>
      </c>
      <c r="L11" s="47" t="s">
        <v>101</v>
      </c>
      <c r="M11" s="12" t="s">
        <v>65</v>
      </c>
      <c r="N11" s="42"/>
      <c r="O11" s="35"/>
      <c r="P11" s="35"/>
      <c r="Q11" s="35"/>
      <c r="R11" s="35"/>
      <c r="S11" s="35"/>
      <c r="T11" s="32"/>
      <c r="U11" s="32"/>
      <c r="V11" s="32"/>
      <c r="W11" s="32"/>
      <c r="X11" s="32"/>
      <c r="Y11" s="32"/>
      <c r="Z11" s="32"/>
      <c r="AA11" s="32"/>
      <c r="AB11" s="32"/>
    </row>
    <row r="12">
      <c r="A12" s="43"/>
      <c r="B12" s="44">
        <v>15.0</v>
      </c>
      <c r="C12" s="45"/>
      <c r="D12" s="46">
        <v>44080.0</v>
      </c>
      <c r="E12" s="47" t="s">
        <v>104</v>
      </c>
      <c r="F12" s="12" t="s">
        <v>27</v>
      </c>
      <c r="G12" s="32"/>
      <c r="H12" s="47"/>
      <c r="I12" s="48"/>
      <c r="J12" s="49">
        <v>37.67</v>
      </c>
      <c r="K12" s="46">
        <v>44086.0</v>
      </c>
      <c r="L12" s="47" t="s">
        <v>105</v>
      </c>
      <c r="M12" s="12" t="s">
        <v>109</v>
      </c>
      <c r="N12" s="32"/>
      <c r="O12" s="32"/>
      <c r="P12" s="35"/>
      <c r="Q12" s="35"/>
      <c r="R12" s="70"/>
      <c r="S12" s="35"/>
      <c r="T12" s="32"/>
      <c r="U12" s="35"/>
      <c r="V12" s="35"/>
      <c r="W12" s="32"/>
      <c r="X12" s="32"/>
      <c r="Y12" s="32"/>
      <c r="Z12" s="32"/>
      <c r="AA12" s="32"/>
      <c r="AB12" s="32"/>
    </row>
    <row r="13">
      <c r="A13" s="43"/>
      <c r="B13" s="56">
        <v>30.0</v>
      </c>
      <c r="C13" s="69"/>
      <c r="D13" s="46">
        <v>44080.0</v>
      </c>
      <c r="E13" s="47" t="s">
        <v>104</v>
      </c>
      <c r="F13" s="12" t="s">
        <v>32</v>
      </c>
      <c r="G13" s="32"/>
      <c r="H13" s="43"/>
      <c r="I13" s="48">
        <v>100.0</v>
      </c>
      <c r="J13" s="49"/>
      <c r="K13" s="46">
        <v>44086.0</v>
      </c>
      <c r="L13" s="47" t="s">
        <v>106</v>
      </c>
      <c r="M13" s="12"/>
      <c r="N13" s="71"/>
      <c r="O13" s="71"/>
      <c r="P13" s="35"/>
      <c r="Q13" s="35"/>
      <c r="R13" s="35"/>
      <c r="S13" s="35"/>
      <c r="T13" s="32"/>
      <c r="U13" s="35"/>
      <c r="V13" s="35"/>
      <c r="W13" s="32"/>
      <c r="X13" s="32"/>
      <c r="Y13" s="32"/>
      <c r="Z13" s="32"/>
      <c r="AA13" s="32"/>
      <c r="AB13" s="32"/>
    </row>
    <row r="14">
      <c r="A14" s="43"/>
      <c r="B14" s="44">
        <v>15.0</v>
      </c>
      <c r="C14" s="72"/>
      <c r="D14" s="46">
        <v>44080.0</v>
      </c>
      <c r="E14" s="47" t="s">
        <v>104</v>
      </c>
      <c r="F14" s="12" t="s">
        <v>15</v>
      </c>
      <c r="G14" s="32"/>
      <c r="H14" s="43"/>
      <c r="I14" s="48">
        <v>5.0</v>
      </c>
      <c r="J14" s="49"/>
      <c r="K14" s="46">
        <v>44086.0</v>
      </c>
      <c r="L14" s="47" t="s">
        <v>106</v>
      </c>
      <c r="M14" s="12"/>
      <c r="N14" s="71"/>
      <c r="O14" s="71"/>
      <c r="P14" s="35"/>
      <c r="Q14" s="35"/>
      <c r="R14" s="35"/>
      <c r="S14" s="35"/>
      <c r="T14" s="32"/>
      <c r="U14" s="35"/>
      <c r="V14" s="35"/>
      <c r="W14" s="32"/>
      <c r="X14" s="32"/>
      <c r="Y14" s="32"/>
      <c r="Z14" s="32"/>
      <c r="AA14" s="32"/>
      <c r="AB14" s="32"/>
    </row>
    <row r="15">
      <c r="A15" s="43"/>
      <c r="B15" s="51"/>
      <c r="C15" s="45">
        <v>100.0</v>
      </c>
      <c r="D15" s="46">
        <v>44086.0</v>
      </c>
      <c r="E15" s="47" t="s">
        <v>106</v>
      </c>
      <c r="F15" s="12"/>
      <c r="G15" s="32"/>
      <c r="H15" s="43"/>
      <c r="I15" s="48">
        <v>6.4</v>
      </c>
      <c r="J15" s="73"/>
      <c r="K15" s="46">
        <v>44087.0</v>
      </c>
      <c r="L15" s="47" t="s">
        <v>106</v>
      </c>
      <c r="M15" s="74"/>
      <c r="N15" s="71"/>
      <c r="O15" s="71"/>
      <c r="P15" s="35"/>
      <c r="Q15" s="35"/>
      <c r="R15" s="70"/>
      <c r="S15" s="70"/>
      <c r="T15" s="32"/>
      <c r="U15" s="35"/>
      <c r="V15" s="35"/>
      <c r="W15" s="32"/>
      <c r="X15" s="32"/>
      <c r="Y15" s="32"/>
      <c r="Z15" s="32"/>
      <c r="AA15" s="32"/>
      <c r="AB15" s="32"/>
    </row>
    <row r="16">
      <c r="A16" s="43"/>
      <c r="B16" s="56"/>
      <c r="C16" s="45">
        <v>5.0</v>
      </c>
      <c r="D16" s="46">
        <v>44086.0</v>
      </c>
      <c r="E16" s="47" t="s">
        <v>106</v>
      </c>
      <c r="F16" s="12"/>
      <c r="G16" s="32"/>
      <c r="H16" s="43"/>
      <c r="I16" s="48"/>
      <c r="J16" s="49">
        <v>21.64</v>
      </c>
      <c r="K16" s="46">
        <v>44087.0</v>
      </c>
      <c r="L16" s="47" t="s">
        <v>101</v>
      </c>
      <c r="M16" s="12" t="s">
        <v>68</v>
      </c>
      <c r="N16" s="42"/>
      <c r="O16" s="42"/>
      <c r="P16" s="35"/>
      <c r="Q16" s="35"/>
      <c r="R16" s="35"/>
      <c r="S16" s="35"/>
      <c r="T16" s="32"/>
      <c r="U16" s="35"/>
      <c r="V16" s="35"/>
      <c r="W16" s="32"/>
      <c r="X16" s="32"/>
      <c r="Y16" s="32"/>
      <c r="Z16" s="32"/>
      <c r="AA16" s="32"/>
      <c r="AB16" s="32"/>
    </row>
    <row r="17">
      <c r="A17" s="43"/>
      <c r="B17" s="56">
        <v>40.0</v>
      </c>
      <c r="C17" s="72"/>
      <c r="D17" s="46">
        <v>44087.0</v>
      </c>
      <c r="E17" s="47" t="s">
        <v>104</v>
      </c>
      <c r="F17" s="12" t="s">
        <v>54</v>
      </c>
      <c r="G17" s="32"/>
      <c r="H17" s="43"/>
      <c r="I17" s="48"/>
      <c r="J17" s="49">
        <v>6.48</v>
      </c>
      <c r="K17" s="46">
        <v>44087.0</v>
      </c>
      <c r="L17" s="47" t="s">
        <v>101</v>
      </c>
      <c r="M17" s="12" t="s">
        <v>71</v>
      </c>
      <c r="N17" s="32"/>
      <c r="O17" s="35"/>
      <c r="P17" s="35"/>
      <c r="Q17" s="35"/>
      <c r="R17" s="35"/>
      <c r="S17" s="35"/>
      <c r="T17" s="32"/>
      <c r="U17" s="32"/>
      <c r="V17" s="32"/>
      <c r="W17" s="32"/>
      <c r="X17" s="32"/>
      <c r="Y17" s="32"/>
      <c r="Z17" s="32"/>
      <c r="AA17" s="32"/>
      <c r="AB17" s="32"/>
    </row>
    <row r="18">
      <c r="A18" s="43"/>
      <c r="B18" s="56">
        <v>30.0</v>
      </c>
      <c r="C18" s="75"/>
      <c r="D18" s="46">
        <v>44087.0</v>
      </c>
      <c r="E18" s="47" t="s">
        <v>104</v>
      </c>
      <c r="F18" s="12" t="s">
        <v>43</v>
      </c>
      <c r="G18" s="32"/>
      <c r="H18" s="43"/>
      <c r="I18" s="48"/>
      <c r="J18" s="49">
        <v>8.61</v>
      </c>
      <c r="K18" s="46">
        <v>44088.0</v>
      </c>
      <c r="L18" s="47" t="s">
        <v>105</v>
      </c>
      <c r="M18" s="12" t="s">
        <v>110</v>
      </c>
      <c r="N18" s="32"/>
      <c r="O18" s="35"/>
      <c r="P18" s="35"/>
      <c r="Q18" s="35"/>
      <c r="R18" s="35"/>
      <c r="S18" s="35"/>
      <c r="T18" s="32"/>
      <c r="U18" s="32"/>
      <c r="V18" s="32"/>
      <c r="W18" s="32"/>
      <c r="X18" s="32"/>
      <c r="Y18" s="32"/>
      <c r="Z18" s="32"/>
      <c r="AA18" s="32"/>
      <c r="AB18" s="32"/>
    </row>
    <row r="19">
      <c r="A19" s="43"/>
      <c r="B19" s="56">
        <v>30.0</v>
      </c>
      <c r="C19" s="72"/>
      <c r="D19" s="46">
        <v>44087.0</v>
      </c>
      <c r="E19" s="47" t="s">
        <v>104</v>
      </c>
      <c r="F19" s="12" t="s">
        <v>52</v>
      </c>
      <c r="G19" s="32"/>
      <c r="H19" s="43"/>
      <c r="I19" s="48">
        <v>3.0</v>
      </c>
      <c r="J19" s="73"/>
      <c r="K19" s="46">
        <v>44088.0</v>
      </c>
      <c r="L19" s="47" t="s">
        <v>106</v>
      </c>
      <c r="M19" s="74"/>
      <c r="N19" s="32"/>
      <c r="O19" s="70"/>
      <c r="P19" s="35"/>
      <c r="Q19" s="35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>
      <c r="A20" s="43"/>
      <c r="B20" s="76"/>
      <c r="C20" s="49">
        <v>6.4</v>
      </c>
      <c r="D20" s="46">
        <v>44087.0</v>
      </c>
      <c r="E20" s="47" t="s">
        <v>106</v>
      </c>
      <c r="F20" s="74"/>
      <c r="G20" s="32"/>
      <c r="H20" s="43"/>
      <c r="I20" s="48">
        <v>74.4</v>
      </c>
      <c r="J20" s="73"/>
      <c r="K20" s="46">
        <v>44090.0</v>
      </c>
      <c r="L20" s="47" t="s">
        <v>106</v>
      </c>
      <c r="M20" s="74"/>
      <c r="N20" s="32"/>
      <c r="O20" s="35"/>
      <c r="P20" s="35"/>
      <c r="Q20" s="35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>
      <c r="A21" s="43"/>
      <c r="B21" s="56">
        <v>40.0</v>
      </c>
      <c r="C21" s="73"/>
      <c r="D21" s="46">
        <v>44087.0</v>
      </c>
      <c r="E21" s="47" t="s">
        <v>104</v>
      </c>
      <c r="F21" s="12" t="s">
        <v>62</v>
      </c>
      <c r="G21" s="32"/>
      <c r="H21" s="43"/>
      <c r="I21" s="52"/>
      <c r="J21" s="53">
        <v>39.98</v>
      </c>
      <c r="K21" s="77"/>
      <c r="L21" s="47"/>
      <c r="M21" s="74"/>
      <c r="N21" s="32"/>
      <c r="O21" s="35"/>
      <c r="P21" s="35"/>
      <c r="Q21" s="35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>
      <c r="A22" s="43"/>
      <c r="B22" s="44">
        <v>30.0</v>
      </c>
      <c r="C22" s="72"/>
      <c r="D22" s="46">
        <v>44088.0</v>
      </c>
      <c r="E22" s="47" t="s">
        <v>104</v>
      </c>
      <c r="F22" s="12" t="s">
        <v>65</v>
      </c>
      <c r="G22" s="42" t="s">
        <v>111</v>
      </c>
      <c r="H22" s="43"/>
      <c r="I22" s="78">
        <v>39.98</v>
      </c>
      <c r="J22" s="79"/>
      <c r="K22" s="77"/>
      <c r="L22" s="47"/>
      <c r="M22" s="74"/>
      <c r="N22" s="32"/>
      <c r="O22" s="35"/>
      <c r="P22" s="35"/>
      <c r="Q22" s="35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>
      <c r="A23" s="43"/>
      <c r="B23" s="44">
        <v>20.0</v>
      </c>
      <c r="C23" s="72"/>
      <c r="D23" s="46">
        <v>44088.0</v>
      </c>
      <c r="E23" s="47" t="s">
        <v>104</v>
      </c>
      <c r="F23" s="47" t="s">
        <v>47</v>
      </c>
      <c r="G23" s="42" t="s">
        <v>111</v>
      </c>
      <c r="H23" s="43"/>
      <c r="I23" s="52"/>
      <c r="J23" s="79"/>
      <c r="K23" s="77"/>
      <c r="L23" s="47"/>
      <c r="M23" s="74"/>
      <c r="N23" s="32"/>
      <c r="O23" s="35"/>
      <c r="P23" s="35"/>
      <c r="Q23" s="35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>
      <c r="A24" s="43"/>
      <c r="B24" s="76"/>
      <c r="C24" s="57">
        <v>3.0</v>
      </c>
      <c r="D24" s="46">
        <v>44088.0</v>
      </c>
      <c r="E24" s="47" t="s">
        <v>106</v>
      </c>
      <c r="F24" s="43"/>
      <c r="G24" s="32"/>
      <c r="H24" s="43"/>
      <c r="I24" s="52"/>
      <c r="J24" s="79"/>
      <c r="K24" s="77"/>
      <c r="L24" s="47"/>
      <c r="M24" s="74"/>
      <c r="N24" s="32"/>
      <c r="O24" s="35"/>
      <c r="P24" s="35"/>
      <c r="Q24" s="35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>
      <c r="A25" s="43"/>
      <c r="B25" s="51"/>
      <c r="C25" s="45">
        <v>74.4</v>
      </c>
      <c r="D25" s="46">
        <v>44090.0</v>
      </c>
      <c r="E25" s="47" t="s">
        <v>106</v>
      </c>
      <c r="F25" s="74"/>
      <c r="G25" s="32"/>
      <c r="H25" s="43"/>
      <c r="I25" s="52"/>
      <c r="J25" s="79"/>
      <c r="K25" s="77"/>
      <c r="L25" s="47"/>
      <c r="M25" s="74"/>
      <c r="N25" s="32"/>
      <c r="O25" s="35"/>
      <c r="P25" s="35"/>
      <c r="Q25" s="35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>
      <c r="A26" s="43"/>
      <c r="B26" s="48">
        <v>20.0</v>
      </c>
      <c r="C26" s="57"/>
      <c r="D26" s="46">
        <v>44091.0</v>
      </c>
      <c r="E26" s="47" t="s">
        <v>104</v>
      </c>
      <c r="F26" s="47" t="s">
        <v>52</v>
      </c>
      <c r="G26" s="32"/>
      <c r="H26" s="43"/>
      <c r="I26" s="52"/>
      <c r="J26" s="79"/>
      <c r="K26" s="77"/>
      <c r="L26" s="47"/>
      <c r="M26" s="74"/>
      <c r="N26" s="80"/>
      <c r="O26" s="35"/>
      <c r="P26" s="35"/>
      <c r="Q26" s="35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>
      <c r="A27" s="43"/>
      <c r="B27" s="48">
        <v>80.0</v>
      </c>
      <c r="C27" s="79"/>
      <c r="D27" s="46">
        <v>44093.0</v>
      </c>
      <c r="E27" s="47" t="s">
        <v>104</v>
      </c>
      <c r="F27" s="12" t="s">
        <v>36</v>
      </c>
      <c r="G27" s="32"/>
      <c r="H27" s="43"/>
      <c r="I27" s="52"/>
      <c r="J27" s="43"/>
      <c r="K27" s="77"/>
      <c r="L27" s="47"/>
      <c r="M27" s="74"/>
      <c r="N27" s="32"/>
      <c r="O27" s="35"/>
      <c r="P27" s="35"/>
      <c r="Q27" s="35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>
      <c r="A28" s="43"/>
      <c r="B28" s="48">
        <v>20.0</v>
      </c>
      <c r="C28" s="79"/>
      <c r="D28" s="46">
        <v>44094.0</v>
      </c>
      <c r="E28" s="47" t="s">
        <v>104</v>
      </c>
      <c r="F28" s="47" t="s">
        <v>78</v>
      </c>
      <c r="G28" s="32"/>
      <c r="H28" s="43"/>
      <c r="I28" s="58"/>
      <c r="J28" s="73"/>
      <c r="K28" s="77"/>
      <c r="L28" s="47"/>
      <c r="M28" s="12"/>
      <c r="N28" s="32"/>
      <c r="O28" s="35"/>
      <c r="P28" s="35"/>
      <c r="Q28" s="35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>
      <c r="A29" s="43"/>
      <c r="B29" s="48">
        <v>40.0</v>
      </c>
      <c r="C29" s="79"/>
      <c r="D29" s="46">
        <v>44095.0</v>
      </c>
      <c r="E29" s="47" t="s">
        <v>104</v>
      </c>
      <c r="F29" s="47" t="s">
        <v>68</v>
      </c>
      <c r="G29" s="32"/>
      <c r="H29" s="43"/>
      <c r="I29" s="58"/>
      <c r="J29" s="73"/>
      <c r="K29" s="77"/>
      <c r="L29" s="47"/>
      <c r="M29" s="12"/>
      <c r="N29" s="32"/>
      <c r="O29" s="35"/>
      <c r="P29" s="35"/>
      <c r="Q29" s="35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>
      <c r="A30" s="43"/>
      <c r="B30" s="48">
        <v>40.0</v>
      </c>
      <c r="C30" s="53"/>
      <c r="D30" s="46">
        <v>44096.0</v>
      </c>
      <c r="E30" s="47" t="s">
        <v>104</v>
      </c>
      <c r="F30" s="47" t="s">
        <v>71</v>
      </c>
      <c r="G30" s="32"/>
      <c r="H30" s="43"/>
      <c r="I30" s="58"/>
      <c r="J30" s="73"/>
      <c r="K30" s="77"/>
      <c r="L30" s="47"/>
      <c r="M30" s="12"/>
      <c r="N30" s="32"/>
      <c r="O30" s="35"/>
      <c r="P30" s="35"/>
      <c r="Q30" s="35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>
      <c r="A31" s="43"/>
      <c r="B31" s="48">
        <v>20.0</v>
      </c>
      <c r="C31" s="53"/>
      <c r="D31" s="46">
        <v>44098.0</v>
      </c>
      <c r="E31" s="47" t="s">
        <v>104</v>
      </c>
      <c r="F31" s="47" t="s">
        <v>76</v>
      </c>
      <c r="G31" s="32"/>
      <c r="H31" s="43"/>
      <c r="I31" s="58"/>
      <c r="J31" s="73"/>
      <c r="K31" s="77"/>
      <c r="L31" s="47"/>
      <c r="M31" s="12"/>
      <c r="N31" s="32"/>
      <c r="O31" s="35"/>
      <c r="P31" s="35"/>
      <c r="Q31" s="35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>
      <c r="A32" s="43"/>
      <c r="B32" s="58"/>
      <c r="C32" s="53">
        <v>39.98</v>
      </c>
      <c r="D32" s="46"/>
      <c r="E32" s="47" t="s">
        <v>106</v>
      </c>
      <c r="F32" s="43"/>
      <c r="G32" s="32"/>
      <c r="H32" s="43"/>
      <c r="I32" s="58"/>
      <c r="J32" s="53"/>
      <c r="K32" s="46"/>
      <c r="L32" s="47"/>
      <c r="M32" s="12"/>
      <c r="N32" s="32"/>
      <c r="O32" s="35"/>
      <c r="P32" s="35"/>
      <c r="Q32" s="35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>
      <c r="A33" s="43"/>
      <c r="B33" s="48"/>
      <c r="C33" s="53"/>
      <c r="D33" s="46"/>
      <c r="E33" s="47"/>
      <c r="F33" s="43"/>
      <c r="G33" s="32"/>
      <c r="H33" s="43"/>
      <c r="I33" s="48"/>
      <c r="J33" s="79"/>
      <c r="K33" s="46"/>
      <c r="L33" s="47"/>
      <c r="M33" s="74"/>
      <c r="N33" s="32"/>
      <c r="O33" s="35"/>
      <c r="P33" s="35"/>
      <c r="Q33" s="35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>
      <c r="A34" s="43"/>
      <c r="B34" s="48"/>
      <c r="C34" s="53"/>
      <c r="D34" s="46"/>
      <c r="E34" s="47"/>
      <c r="F34" s="47"/>
      <c r="G34" s="32"/>
      <c r="H34" s="43"/>
      <c r="I34" s="48"/>
      <c r="J34" s="79"/>
      <c r="K34" s="46"/>
      <c r="L34" s="47"/>
      <c r="M34" s="74"/>
      <c r="N34" s="32"/>
      <c r="O34" s="35"/>
      <c r="P34" s="35"/>
      <c r="Q34" s="35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>
      <c r="A35" s="43"/>
      <c r="B35" s="48"/>
      <c r="C35" s="53"/>
      <c r="D35" s="46"/>
      <c r="E35" s="47"/>
      <c r="F35" s="43"/>
      <c r="G35" s="32"/>
      <c r="H35" s="43"/>
      <c r="I35" s="58"/>
      <c r="J35" s="53"/>
      <c r="K35" s="46"/>
      <c r="L35" s="47"/>
      <c r="M35" s="12"/>
      <c r="N35" s="32"/>
      <c r="O35" s="35"/>
      <c r="P35" s="35"/>
      <c r="Q35" s="35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>
      <c r="A36" s="43"/>
      <c r="B36" s="48"/>
      <c r="C36" s="79"/>
      <c r="D36" s="46"/>
      <c r="E36" s="47"/>
      <c r="F36" s="47"/>
      <c r="G36" s="32"/>
      <c r="H36" s="43"/>
      <c r="I36" s="58"/>
      <c r="J36" s="53"/>
      <c r="K36" s="46"/>
      <c r="L36" s="47"/>
      <c r="M36" s="12"/>
      <c r="N36" s="32"/>
      <c r="O36" s="35"/>
      <c r="P36" s="35"/>
      <c r="Q36" s="35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>
      <c r="A37" s="43"/>
      <c r="B37" s="48"/>
      <c r="C37" s="53"/>
      <c r="D37" s="46"/>
      <c r="E37" s="47"/>
      <c r="F37" s="47"/>
      <c r="G37" s="32"/>
      <c r="H37" s="43"/>
      <c r="I37" s="48"/>
      <c r="J37" s="79"/>
      <c r="K37" s="46"/>
      <c r="L37" s="47"/>
      <c r="M37" s="74"/>
      <c r="N37" s="32"/>
      <c r="O37" s="35"/>
      <c r="P37" s="35"/>
      <c r="Q37" s="35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>
      <c r="A38" s="43"/>
      <c r="B38" s="48"/>
      <c r="C38" s="53"/>
      <c r="D38" s="46"/>
      <c r="E38" s="47"/>
      <c r="F38" s="43"/>
      <c r="G38" s="32"/>
      <c r="H38" s="43"/>
      <c r="I38" s="58"/>
      <c r="J38" s="53"/>
      <c r="K38" s="46"/>
      <c r="L38" s="47"/>
      <c r="M38" s="12"/>
      <c r="N38" s="32"/>
      <c r="O38" s="35"/>
      <c r="P38" s="35"/>
      <c r="Q38" s="35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>
      <c r="A39" s="43"/>
      <c r="B39" s="48"/>
      <c r="C39" s="53"/>
      <c r="D39" s="46"/>
      <c r="E39" s="47"/>
      <c r="F39" s="43"/>
      <c r="G39" s="32"/>
      <c r="H39" s="43"/>
      <c r="I39" s="48"/>
      <c r="J39" s="79"/>
      <c r="K39" s="46"/>
      <c r="L39" s="47"/>
      <c r="M39" s="74"/>
      <c r="N39" s="32"/>
      <c r="O39" s="35"/>
      <c r="P39" s="35"/>
      <c r="Q39" s="35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>
      <c r="A40" s="32"/>
      <c r="B40" s="81"/>
      <c r="C40" s="79"/>
      <c r="D40" s="46"/>
      <c r="E40" s="47"/>
      <c r="F40" s="82"/>
      <c r="G40" s="32"/>
      <c r="H40" s="32"/>
      <c r="I40" s="81"/>
      <c r="J40" s="53"/>
      <c r="K40" s="46"/>
      <c r="L40" s="47"/>
      <c r="M40" s="12"/>
      <c r="N40" s="32"/>
      <c r="O40" s="35"/>
      <c r="P40" s="35"/>
      <c r="Q40" s="35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>
      <c r="A41" s="32"/>
      <c r="B41" s="83"/>
      <c r="C41" s="53"/>
      <c r="D41" s="46"/>
      <c r="E41" s="47"/>
      <c r="F41" s="84"/>
      <c r="G41" s="32"/>
      <c r="H41" s="32"/>
      <c r="I41" s="81"/>
      <c r="J41" s="79"/>
      <c r="K41" s="46"/>
      <c r="L41" s="47"/>
      <c r="M41" s="12"/>
      <c r="N41" s="32"/>
      <c r="O41" s="35"/>
      <c r="P41" s="35"/>
      <c r="Q41" s="35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>
      <c r="A42" s="32"/>
      <c r="B42" s="81"/>
      <c r="C42" s="79"/>
      <c r="D42" s="46"/>
      <c r="E42" s="47"/>
      <c r="F42" s="82"/>
      <c r="G42" s="32"/>
      <c r="H42" s="32"/>
      <c r="I42" s="81"/>
      <c r="J42" s="53"/>
      <c r="K42" s="46"/>
      <c r="L42" s="47"/>
      <c r="M42" s="12"/>
      <c r="N42" s="42"/>
      <c r="O42" s="35"/>
      <c r="P42" s="35"/>
      <c r="Q42" s="35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>
      <c r="A43" s="32"/>
      <c r="B43" s="81"/>
      <c r="C43" s="79"/>
      <c r="D43" s="46"/>
      <c r="E43" s="47"/>
      <c r="F43" s="82"/>
      <c r="G43" s="32"/>
      <c r="H43" s="32"/>
      <c r="I43" s="81"/>
      <c r="J43" s="53"/>
      <c r="K43" s="46"/>
      <c r="L43" s="47"/>
      <c r="M43" s="12"/>
      <c r="N43" s="32"/>
      <c r="O43" s="35"/>
      <c r="P43" s="35"/>
      <c r="Q43" s="35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>
      <c r="A44" s="32"/>
      <c r="B44" s="81"/>
      <c r="C44" s="79"/>
      <c r="D44" s="46"/>
      <c r="E44" s="47"/>
      <c r="F44" s="82"/>
      <c r="G44" s="32"/>
      <c r="H44" s="32"/>
      <c r="I44" s="81"/>
      <c r="J44" s="32"/>
      <c r="K44" s="85"/>
      <c r="L44" s="47"/>
      <c r="M44" s="84"/>
      <c r="N44" s="32"/>
      <c r="O44" s="35"/>
      <c r="P44" s="35"/>
      <c r="Q44" s="35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>
      <c r="A45" s="32"/>
      <c r="B45" s="83"/>
      <c r="C45" s="79"/>
      <c r="D45" s="46"/>
      <c r="E45" s="47"/>
      <c r="F45" s="84"/>
      <c r="G45" s="32"/>
      <c r="H45" s="32"/>
      <c r="I45" s="81"/>
      <c r="J45" s="48"/>
      <c r="K45" s="85"/>
      <c r="L45" s="47"/>
      <c r="M45" s="82"/>
      <c r="N45" s="32"/>
      <c r="O45" s="35"/>
      <c r="P45" s="35"/>
      <c r="Q45" s="35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>
      <c r="A46" s="32"/>
      <c r="B46" s="83"/>
      <c r="C46" s="79"/>
      <c r="D46" s="46"/>
      <c r="E46" s="47"/>
      <c r="F46" s="84"/>
      <c r="G46" s="32"/>
      <c r="H46" s="32"/>
      <c r="I46" s="81"/>
      <c r="J46" s="58"/>
      <c r="K46" s="85"/>
      <c r="L46" s="47"/>
      <c r="M46" s="84"/>
      <c r="N46" s="32"/>
      <c r="O46" s="35"/>
      <c r="P46" s="35"/>
      <c r="Q46" s="35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>
      <c r="A47" s="32"/>
      <c r="B47" s="83"/>
      <c r="C47" s="79"/>
      <c r="D47" s="46"/>
      <c r="E47" s="47"/>
      <c r="F47" s="84"/>
      <c r="G47" s="32"/>
      <c r="H47" s="32"/>
      <c r="I47" s="81"/>
      <c r="J47" s="48"/>
      <c r="K47" s="85"/>
      <c r="L47" s="47"/>
      <c r="M47" s="82"/>
      <c r="N47" s="32"/>
      <c r="O47" s="35"/>
      <c r="P47" s="35"/>
      <c r="Q47" s="35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>
      <c r="A48" s="32"/>
      <c r="B48" s="83"/>
      <c r="C48" s="79"/>
      <c r="D48" s="46"/>
      <c r="E48" s="47"/>
      <c r="F48" s="84"/>
      <c r="G48" s="32"/>
      <c r="H48" s="32"/>
      <c r="I48" s="81"/>
      <c r="J48" s="48"/>
      <c r="K48" s="85"/>
      <c r="L48" s="47"/>
      <c r="M48" s="82"/>
      <c r="N48" s="32"/>
      <c r="O48" s="35"/>
      <c r="P48" s="35"/>
      <c r="Q48" s="35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>
      <c r="A49" s="32"/>
      <c r="B49" s="83"/>
      <c r="C49" s="79"/>
      <c r="D49" s="46"/>
      <c r="E49" s="47"/>
      <c r="F49" s="84"/>
      <c r="G49" s="32"/>
      <c r="H49" s="32"/>
      <c r="I49" s="81"/>
      <c r="J49" s="53"/>
      <c r="K49" s="85"/>
      <c r="L49" s="47"/>
      <c r="M49" s="82"/>
      <c r="N49" s="32"/>
      <c r="O49" s="35"/>
      <c r="P49" s="35"/>
      <c r="Q49" s="35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>
      <c r="A50" s="32"/>
      <c r="B50" s="83"/>
      <c r="C50" s="79"/>
      <c r="D50" s="46"/>
      <c r="E50" s="47"/>
      <c r="F50" s="84"/>
      <c r="G50" s="32"/>
      <c r="H50" s="32"/>
      <c r="I50" s="83"/>
      <c r="J50" s="53"/>
      <c r="K50" s="85"/>
      <c r="L50" s="47"/>
      <c r="M50" s="82"/>
      <c r="N50" s="32"/>
      <c r="O50" s="35"/>
      <c r="P50" s="35"/>
      <c r="Q50" s="35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>
      <c r="A51" s="32"/>
      <c r="B51" s="83"/>
      <c r="C51" s="79"/>
      <c r="D51" s="46"/>
      <c r="E51" s="47"/>
      <c r="F51" s="84"/>
      <c r="G51" s="32"/>
      <c r="H51" s="32"/>
      <c r="I51" s="81"/>
      <c r="J51" s="79"/>
      <c r="K51" s="85"/>
      <c r="L51" s="47"/>
      <c r="M51" s="84"/>
      <c r="N51" s="32"/>
      <c r="O51" s="35"/>
      <c r="P51" s="35"/>
      <c r="Q51" s="35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>
      <c r="A52" s="32"/>
      <c r="B52" s="83"/>
      <c r="C52" s="79"/>
      <c r="D52" s="46"/>
      <c r="E52" s="47"/>
      <c r="F52" s="84"/>
      <c r="G52" s="32"/>
      <c r="H52" s="42"/>
      <c r="I52" s="83"/>
      <c r="J52" s="53"/>
      <c r="K52" s="85"/>
      <c r="L52" s="47"/>
      <c r="M52" s="82"/>
      <c r="N52" s="42"/>
      <c r="O52" s="35"/>
      <c r="P52" s="35"/>
      <c r="Q52" s="35"/>
      <c r="R52" s="32"/>
      <c r="S52" s="42"/>
      <c r="T52" s="32"/>
      <c r="U52" s="32"/>
      <c r="V52" s="32"/>
      <c r="W52" s="32"/>
      <c r="X52" s="32"/>
      <c r="Y52" s="32"/>
      <c r="Z52" s="32"/>
      <c r="AA52" s="32"/>
      <c r="AB52" s="32"/>
    </row>
    <row r="53">
      <c r="A53" s="32"/>
      <c r="B53" s="83"/>
      <c r="C53" s="79"/>
      <c r="D53" s="46"/>
      <c r="E53" s="47"/>
      <c r="F53" s="84"/>
      <c r="G53" s="32"/>
      <c r="H53" s="32"/>
      <c r="I53" s="83"/>
      <c r="J53" s="53"/>
      <c r="K53" s="85"/>
      <c r="L53" s="47"/>
      <c r="M53" s="84"/>
      <c r="N53" s="42"/>
      <c r="O53" s="35"/>
      <c r="P53" s="35"/>
      <c r="Q53" s="35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>
      <c r="A54" s="32"/>
      <c r="B54" s="83"/>
      <c r="C54" s="79"/>
      <c r="D54" s="46"/>
      <c r="E54" s="47"/>
      <c r="F54" s="84"/>
      <c r="G54" s="32"/>
      <c r="H54" s="32"/>
      <c r="I54" s="83"/>
      <c r="J54" s="53"/>
      <c r="K54" s="85"/>
      <c r="L54" s="47"/>
      <c r="M54" s="84"/>
      <c r="N54" s="42"/>
      <c r="O54" s="35"/>
      <c r="P54" s="35"/>
      <c r="Q54" s="35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>
      <c r="A55" s="32"/>
      <c r="B55" s="83"/>
      <c r="C55" s="79"/>
      <c r="D55" s="46"/>
      <c r="E55" s="47"/>
      <c r="F55" s="84"/>
      <c r="G55" s="32"/>
      <c r="H55" s="42"/>
      <c r="I55" s="83"/>
      <c r="J55" s="53"/>
      <c r="K55" s="85"/>
      <c r="L55" s="47"/>
      <c r="M55" s="84"/>
      <c r="N55" s="32"/>
      <c r="O55" s="35"/>
      <c r="P55" s="35"/>
      <c r="Q55" s="35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>
      <c r="A56" s="32"/>
      <c r="B56" s="83"/>
      <c r="C56" s="79"/>
      <c r="D56" s="46"/>
      <c r="E56" s="47"/>
      <c r="F56" s="84"/>
      <c r="G56" s="32"/>
      <c r="H56" s="32"/>
      <c r="I56" s="83"/>
      <c r="J56" s="53"/>
      <c r="K56" s="85"/>
      <c r="L56" s="47"/>
      <c r="M56" s="84"/>
      <c r="N56" s="42"/>
      <c r="O56" s="35"/>
      <c r="P56" s="35"/>
      <c r="Q56" s="35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>
      <c r="A57" s="32"/>
      <c r="B57" s="83"/>
      <c r="C57" s="79"/>
      <c r="D57" s="46"/>
      <c r="E57" s="47"/>
      <c r="F57" s="84"/>
      <c r="G57" s="32"/>
      <c r="H57" s="32"/>
      <c r="I57" s="81"/>
      <c r="J57" s="53"/>
      <c r="K57" s="85"/>
      <c r="L57" s="47"/>
      <c r="M57" s="82"/>
      <c r="N57" s="42"/>
      <c r="O57" s="35"/>
      <c r="P57" s="35"/>
      <c r="Q57" s="35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>
      <c r="A58" s="32"/>
      <c r="B58" s="83"/>
      <c r="C58" s="79"/>
      <c r="D58" s="46"/>
      <c r="E58" s="47"/>
      <c r="F58" s="84"/>
      <c r="G58" s="32"/>
      <c r="H58" s="32"/>
      <c r="I58" s="81"/>
      <c r="J58" s="53"/>
      <c r="K58" s="85"/>
      <c r="L58" s="47"/>
      <c r="M58" s="82"/>
      <c r="N58" s="42"/>
      <c r="O58" s="35"/>
      <c r="P58" s="35"/>
      <c r="Q58" s="35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>
      <c r="A59" s="32"/>
      <c r="B59" s="83"/>
      <c r="C59" s="79"/>
      <c r="D59" s="46"/>
      <c r="E59" s="47"/>
      <c r="F59" s="84"/>
      <c r="G59" s="32"/>
      <c r="H59" s="32"/>
      <c r="I59" s="83"/>
      <c r="J59" s="53"/>
      <c r="K59" s="85"/>
      <c r="L59" s="47"/>
      <c r="M59" s="84"/>
      <c r="N59" s="42"/>
      <c r="O59" s="35"/>
      <c r="P59" s="35"/>
      <c r="Q59" s="35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>
      <c r="A60" s="32"/>
      <c r="B60" s="83"/>
      <c r="C60" s="79"/>
      <c r="D60" s="46"/>
      <c r="E60" s="47"/>
      <c r="F60" s="84"/>
      <c r="G60" s="32"/>
      <c r="H60" s="32"/>
      <c r="I60" s="83"/>
      <c r="J60" s="53"/>
      <c r="K60" s="85"/>
      <c r="L60" s="47"/>
      <c r="M60" s="84"/>
      <c r="N60" s="42"/>
      <c r="O60" s="35"/>
      <c r="P60" s="35"/>
      <c r="Q60" s="35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>
      <c r="A61" s="32"/>
      <c r="B61" s="83"/>
      <c r="C61" s="79"/>
      <c r="D61" s="46"/>
      <c r="E61" s="47"/>
      <c r="F61" s="84"/>
      <c r="G61" s="32"/>
      <c r="H61" s="32"/>
      <c r="I61" s="83"/>
      <c r="J61" s="79"/>
      <c r="K61" s="85"/>
      <c r="L61" s="47"/>
      <c r="M61" s="84"/>
      <c r="N61" s="32"/>
      <c r="O61" s="35"/>
      <c r="P61" s="35"/>
      <c r="Q61" s="35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>
      <c r="A62" s="32"/>
      <c r="B62" s="83"/>
      <c r="C62" s="79"/>
      <c r="D62" s="46"/>
      <c r="E62" s="47"/>
      <c r="F62" s="84"/>
      <c r="G62" s="32"/>
      <c r="H62" s="32"/>
      <c r="I62" s="83"/>
      <c r="J62" s="79"/>
      <c r="K62" s="85"/>
      <c r="L62" s="47"/>
      <c r="M62" s="84"/>
      <c r="N62" s="32"/>
      <c r="O62" s="35"/>
      <c r="P62" s="35"/>
      <c r="Q62" s="35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>
      <c r="A63" s="32"/>
      <c r="B63" s="83"/>
      <c r="C63" s="79"/>
      <c r="D63" s="46"/>
      <c r="E63" s="47"/>
      <c r="F63" s="84"/>
      <c r="G63" s="32"/>
      <c r="H63" s="32"/>
      <c r="I63" s="83"/>
      <c r="J63" s="79"/>
      <c r="K63" s="85"/>
      <c r="L63" s="47"/>
      <c r="M63" s="84"/>
      <c r="N63" s="32"/>
      <c r="O63" s="35"/>
      <c r="P63" s="35"/>
      <c r="Q63" s="35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>
      <c r="A64" s="32"/>
      <c r="B64" s="83"/>
      <c r="C64" s="79"/>
      <c r="D64" s="46"/>
      <c r="E64" s="47"/>
      <c r="F64" s="84"/>
      <c r="G64" s="32"/>
      <c r="H64" s="32"/>
      <c r="I64" s="83"/>
      <c r="J64" s="79"/>
      <c r="K64" s="85"/>
      <c r="L64" s="47"/>
      <c r="M64" s="84"/>
      <c r="N64" s="32"/>
      <c r="O64" s="35"/>
      <c r="P64" s="35"/>
      <c r="Q64" s="35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>
      <c r="A65" s="32"/>
      <c r="B65" s="83"/>
      <c r="C65" s="79"/>
      <c r="D65" s="46"/>
      <c r="E65" s="47"/>
      <c r="F65" s="84"/>
      <c r="G65" s="32"/>
      <c r="H65" s="32"/>
      <c r="I65" s="83"/>
      <c r="J65" s="79"/>
      <c r="K65" s="85"/>
      <c r="L65" s="47"/>
      <c r="M65" s="84"/>
      <c r="N65" s="32"/>
      <c r="O65" s="35"/>
      <c r="P65" s="35"/>
      <c r="Q65" s="35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>
      <c r="A66" s="32"/>
      <c r="B66" s="83"/>
      <c r="C66" s="79"/>
      <c r="D66" s="46"/>
      <c r="E66" s="47"/>
      <c r="F66" s="84"/>
      <c r="G66" s="32"/>
      <c r="H66" s="32"/>
      <c r="I66" s="83"/>
      <c r="J66" s="79"/>
      <c r="K66" s="85"/>
      <c r="L66" s="47"/>
      <c r="M66" s="84"/>
      <c r="N66" s="32"/>
      <c r="O66" s="35"/>
      <c r="P66" s="35"/>
      <c r="Q66" s="35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>
      <c r="A67" s="32"/>
      <c r="B67" s="83"/>
      <c r="C67" s="79"/>
      <c r="D67" s="46"/>
      <c r="E67" s="47"/>
      <c r="F67" s="84"/>
      <c r="G67" s="32"/>
      <c r="H67" s="32"/>
      <c r="I67" s="83"/>
      <c r="J67" s="79"/>
      <c r="K67" s="85"/>
      <c r="L67" s="47"/>
      <c r="M67" s="84"/>
      <c r="N67" s="32"/>
      <c r="O67" s="35"/>
      <c r="P67" s="35"/>
      <c r="Q67" s="35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</sheetData>
  <conditionalFormatting sqref="P2">
    <cfRule type="cellIs" dxfId="0" priority="1" operator="lessThan">
      <formula>0</formula>
    </cfRule>
  </conditionalFormatting>
  <conditionalFormatting sqref="P2">
    <cfRule type="cellIs" dxfId="1" priority="2" operator="equal">
      <formula>0</formula>
    </cfRule>
  </conditionalFormatting>
  <conditionalFormatting sqref="P2">
    <cfRule type="cellIs" dxfId="2" priority="3" operator="greaterThan">
      <formula>0</formula>
    </cfRule>
  </conditionalFormatting>
  <dataValidations>
    <dataValidation type="list" allowBlank="1" showErrorMessage="1" sqref="E3:E67">
      <formula1>Ledger!$O$6:$O$9</formula1>
    </dataValidation>
    <dataValidation type="list" allowBlank="1" showErrorMessage="1" sqref="L3:L67">
      <formula1>Ledger!$R$6:$R$9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5.88"/>
    <col customWidth="1" min="3" max="3" width="32.75"/>
    <col customWidth="1" min="4" max="4" width="10.5"/>
    <col customWidth="1" min="5" max="5" width="7.75"/>
  </cols>
  <sheetData>
    <row r="1">
      <c r="A1" s="32"/>
      <c r="B1" s="32"/>
      <c r="C1" s="3"/>
      <c r="D1" s="3"/>
      <c r="E1" s="3"/>
      <c r="F1" s="3"/>
    </row>
    <row r="2">
      <c r="A2" s="86"/>
      <c r="B2" s="87" t="s">
        <v>0</v>
      </c>
      <c r="C2" s="7" t="s">
        <v>112</v>
      </c>
      <c r="D2" s="6" t="s">
        <v>97</v>
      </c>
      <c r="E2" s="6" t="s">
        <v>113</v>
      </c>
      <c r="F2" s="6" t="s">
        <v>114</v>
      </c>
    </row>
    <row r="3">
      <c r="A3" s="43"/>
      <c r="B3" s="88" t="s">
        <v>30</v>
      </c>
      <c r="C3" s="15" t="s">
        <v>115</v>
      </c>
      <c r="D3" s="89">
        <v>44076.0</v>
      </c>
      <c r="E3" s="90">
        <v>2.15</v>
      </c>
      <c r="F3" s="91" t="s">
        <v>116</v>
      </c>
    </row>
    <row r="4">
      <c r="A4" s="43"/>
      <c r="B4" s="88" t="s">
        <v>36</v>
      </c>
      <c r="C4" s="15" t="s">
        <v>117</v>
      </c>
      <c r="D4" s="89">
        <v>44086.0</v>
      </c>
      <c r="E4" s="90">
        <v>37.67</v>
      </c>
      <c r="F4" s="91" t="s">
        <v>118</v>
      </c>
    </row>
    <row r="5">
      <c r="A5" s="43"/>
      <c r="B5" s="88" t="s">
        <v>68</v>
      </c>
      <c r="C5" s="15" t="s">
        <v>119</v>
      </c>
      <c r="D5" s="89">
        <v>44088.0</v>
      </c>
      <c r="E5" s="90">
        <v>8.61</v>
      </c>
      <c r="F5" s="91" t="s">
        <v>118</v>
      </c>
    </row>
    <row r="6">
      <c r="A6" s="43"/>
      <c r="B6" s="88"/>
      <c r="C6" s="15"/>
      <c r="D6" s="89"/>
      <c r="E6" s="90"/>
      <c r="F6" s="15"/>
    </row>
    <row r="7">
      <c r="A7" s="43"/>
      <c r="B7" s="88"/>
      <c r="C7" s="15"/>
      <c r="D7" s="89"/>
      <c r="E7" s="90"/>
      <c r="F7" s="92"/>
    </row>
    <row r="8">
      <c r="A8" s="43"/>
      <c r="B8" s="88"/>
      <c r="C8" s="15"/>
      <c r="D8" s="89"/>
      <c r="E8" s="90"/>
      <c r="F8" s="92"/>
    </row>
    <row r="9">
      <c r="A9" s="43"/>
      <c r="B9" s="88"/>
      <c r="C9" s="15"/>
      <c r="D9" s="89"/>
      <c r="E9" s="90"/>
      <c r="F9" s="92"/>
    </row>
    <row r="10">
      <c r="A10" s="43"/>
      <c r="B10" s="88"/>
      <c r="C10" s="15"/>
      <c r="D10" s="89"/>
      <c r="E10" s="90"/>
      <c r="F10" s="92"/>
    </row>
    <row r="11">
      <c r="A11" s="43"/>
      <c r="B11" s="88"/>
      <c r="C11" s="15"/>
      <c r="D11" s="89"/>
      <c r="E11" s="90"/>
      <c r="F11" s="92"/>
    </row>
    <row r="12">
      <c r="A12" s="43"/>
      <c r="B12" s="88"/>
      <c r="C12" s="15"/>
      <c r="D12" s="89"/>
      <c r="E12" s="90"/>
      <c r="F12" s="92"/>
    </row>
    <row r="13">
      <c r="A13" s="43"/>
      <c r="B13" s="88"/>
      <c r="C13" s="15"/>
      <c r="D13" s="89"/>
      <c r="E13" s="90"/>
      <c r="F13" s="92"/>
    </row>
    <row r="14">
      <c r="A14" s="43"/>
      <c r="B14" s="88"/>
      <c r="C14" s="15"/>
      <c r="D14" s="89"/>
      <c r="E14" s="90"/>
      <c r="F14" s="92"/>
    </row>
    <row r="15">
      <c r="A15" s="43"/>
      <c r="B15" s="88"/>
      <c r="C15" s="15"/>
      <c r="D15" s="89"/>
      <c r="E15" s="90"/>
      <c r="F15" s="92"/>
    </row>
    <row r="16">
      <c r="A16" s="43"/>
      <c r="B16" s="88"/>
      <c r="C16" s="15"/>
      <c r="D16" s="89"/>
      <c r="E16" s="90"/>
      <c r="F16" s="92"/>
    </row>
    <row r="17">
      <c r="A17" s="43"/>
      <c r="B17" s="88"/>
      <c r="C17" s="15"/>
      <c r="D17" s="89"/>
      <c r="E17" s="90"/>
      <c r="F17" s="92"/>
    </row>
    <row r="18">
      <c r="A18" s="43"/>
      <c r="B18" s="88"/>
      <c r="C18" s="15"/>
      <c r="D18" s="89"/>
      <c r="E18" s="90"/>
      <c r="F18" s="92"/>
    </row>
    <row r="19">
      <c r="A19" s="43"/>
      <c r="B19" s="88"/>
      <c r="C19" s="15"/>
      <c r="D19" s="89"/>
      <c r="E19" s="90"/>
      <c r="F19" s="92"/>
    </row>
    <row r="20">
      <c r="A20" s="43"/>
      <c r="B20" s="88"/>
      <c r="C20" s="15"/>
      <c r="D20" s="89"/>
      <c r="E20" s="90"/>
      <c r="F20" s="92"/>
    </row>
    <row r="21">
      <c r="A21" s="43"/>
      <c r="B21" s="88"/>
      <c r="C21" s="15"/>
      <c r="D21" s="89"/>
      <c r="E21" s="90"/>
      <c r="F21" s="92"/>
    </row>
    <row r="22">
      <c r="A22" s="43"/>
      <c r="B22" s="88"/>
      <c r="C22" s="15"/>
      <c r="D22" s="89"/>
      <c r="E22" s="90"/>
      <c r="F22" s="92"/>
    </row>
    <row r="23">
      <c r="A23" s="43"/>
      <c r="B23" s="88"/>
      <c r="C23" s="15"/>
      <c r="D23" s="89"/>
      <c r="E23" s="90"/>
      <c r="F23" s="92"/>
    </row>
    <row r="24">
      <c r="A24" s="43"/>
      <c r="B24" s="88"/>
      <c r="C24" s="15"/>
      <c r="D24" s="89"/>
      <c r="E24" s="90"/>
      <c r="F24" s="92"/>
    </row>
    <row r="25">
      <c r="E25" s="93"/>
    </row>
    <row r="26">
      <c r="E26" s="93"/>
    </row>
    <row r="27">
      <c r="E27" s="93"/>
    </row>
    <row r="28">
      <c r="E28" s="93"/>
    </row>
    <row r="29">
      <c r="E29" s="93"/>
    </row>
    <row r="30">
      <c r="E30" s="93"/>
    </row>
    <row r="31">
      <c r="E31" s="93"/>
    </row>
    <row r="32">
      <c r="E32" s="93"/>
    </row>
    <row r="33">
      <c r="E33" s="93"/>
    </row>
    <row r="34">
      <c r="E34" s="93"/>
    </row>
    <row r="35">
      <c r="E35" s="93"/>
    </row>
    <row r="36">
      <c r="E36" s="93"/>
    </row>
    <row r="37">
      <c r="E37" s="93"/>
    </row>
    <row r="38">
      <c r="E38" s="93"/>
    </row>
    <row r="39">
      <c r="E39" s="93"/>
    </row>
    <row r="40">
      <c r="E40" s="93"/>
    </row>
    <row r="41">
      <c r="E41" s="93"/>
    </row>
    <row r="42">
      <c r="E42" s="93"/>
    </row>
    <row r="43">
      <c r="E43" s="93"/>
    </row>
    <row r="44">
      <c r="E44" s="93"/>
    </row>
    <row r="45">
      <c r="E45" s="93"/>
    </row>
    <row r="46">
      <c r="E46" s="93"/>
    </row>
    <row r="47">
      <c r="E47" s="93"/>
    </row>
    <row r="48">
      <c r="E48" s="93"/>
    </row>
    <row r="49">
      <c r="E49" s="93"/>
    </row>
    <row r="50">
      <c r="E50" s="93"/>
    </row>
    <row r="51">
      <c r="E51" s="93"/>
    </row>
    <row r="52">
      <c r="E52" s="93"/>
    </row>
    <row r="53">
      <c r="E53" s="93"/>
    </row>
    <row r="54">
      <c r="E54" s="93"/>
    </row>
    <row r="55">
      <c r="E55" s="93"/>
    </row>
    <row r="56">
      <c r="E56" s="93"/>
    </row>
    <row r="57">
      <c r="E57" s="93"/>
    </row>
    <row r="58">
      <c r="E58" s="93"/>
    </row>
    <row r="59">
      <c r="E59" s="93"/>
    </row>
    <row r="60">
      <c r="E60" s="93"/>
    </row>
    <row r="61">
      <c r="E61" s="93"/>
    </row>
    <row r="62">
      <c r="E62" s="93"/>
    </row>
    <row r="63">
      <c r="E63" s="93"/>
    </row>
    <row r="64">
      <c r="E64" s="93"/>
    </row>
    <row r="65">
      <c r="E65" s="93"/>
    </row>
    <row r="66">
      <c r="E66" s="93"/>
    </row>
    <row r="67">
      <c r="E67" s="93"/>
    </row>
    <row r="68">
      <c r="E68" s="93"/>
    </row>
    <row r="69">
      <c r="E69" s="93"/>
    </row>
    <row r="70">
      <c r="E70" s="93"/>
    </row>
    <row r="71">
      <c r="E71" s="93"/>
    </row>
    <row r="72">
      <c r="E72" s="93"/>
    </row>
    <row r="73">
      <c r="E73" s="93"/>
    </row>
    <row r="74">
      <c r="E74" s="93"/>
    </row>
    <row r="75">
      <c r="E75" s="93"/>
    </row>
    <row r="76">
      <c r="E76" s="93"/>
    </row>
    <row r="77">
      <c r="E77" s="93"/>
    </row>
    <row r="78">
      <c r="E78" s="93"/>
    </row>
    <row r="79">
      <c r="E79" s="93"/>
    </row>
    <row r="80">
      <c r="E80" s="93"/>
    </row>
    <row r="81">
      <c r="E81" s="93"/>
    </row>
    <row r="82">
      <c r="E82" s="93"/>
    </row>
    <row r="83">
      <c r="E83" s="93"/>
    </row>
    <row r="84">
      <c r="E84" s="93"/>
    </row>
    <row r="85">
      <c r="E85" s="93"/>
    </row>
    <row r="86">
      <c r="E86" s="93"/>
    </row>
    <row r="87">
      <c r="E87" s="93"/>
    </row>
    <row r="88">
      <c r="E88" s="93"/>
    </row>
    <row r="89">
      <c r="E89" s="93"/>
    </row>
    <row r="90">
      <c r="E90" s="93"/>
    </row>
    <row r="91">
      <c r="E91" s="93"/>
    </row>
    <row r="92">
      <c r="E92" s="93"/>
    </row>
    <row r="93">
      <c r="E93" s="93"/>
    </row>
    <row r="94">
      <c r="E94" s="93"/>
    </row>
    <row r="95">
      <c r="E95" s="93"/>
    </row>
    <row r="96">
      <c r="E96" s="93"/>
    </row>
    <row r="97">
      <c r="E97" s="93"/>
    </row>
    <row r="98">
      <c r="E98" s="93"/>
    </row>
    <row r="99">
      <c r="E99" s="93"/>
    </row>
    <row r="100">
      <c r="E100" s="93"/>
    </row>
    <row r="101">
      <c r="E101" s="93"/>
    </row>
    <row r="102">
      <c r="E102" s="93"/>
    </row>
    <row r="103">
      <c r="E103" s="93"/>
    </row>
    <row r="104">
      <c r="E104" s="93"/>
    </row>
    <row r="105">
      <c r="E105" s="93"/>
    </row>
    <row r="106">
      <c r="E106" s="93"/>
    </row>
    <row r="107">
      <c r="E107" s="93"/>
    </row>
    <row r="108">
      <c r="E108" s="93"/>
    </row>
    <row r="109">
      <c r="E109" s="93"/>
    </row>
    <row r="110">
      <c r="E110" s="93"/>
    </row>
    <row r="111">
      <c r="E111" s="93"/>
    </row>
    <row r="112">
      <c r="E112" s="93"/>
    </row>
    <row r="113">
      <c r="E113" s="93"/>
    </row>
    <row r="114">
      <c r="E114" s="93"/>
    </row>
    <row r="115">
      <c r="E115" s="93"/>
    </row>
    <row r="116">
      <c r="E116" s="93"/>
    </row>
    <row r="117">
      <c r="E117" s="93"/>
    </row>
    <row r="118">
      <c r="E118" s="93"/>
    </row>
    <row r="119">
      <c r="E119" s="93"/>
    </row>
    <row r="120">
      <c r="E120" s="93"/>
    </row>
    <row r="121">
      <c r="E121" s="93"/>
    </row>
    <row r="122">
      <c r="E122" s="93"/>
    </row>
    <row r="123">
      <c r="E123" s="93"/>
    </row>
    <row r="124">
      <c r="E124" s="93"/>
    </row>
    <row r="125">
      <c r="E125" s="93"/>
    </row>
    <row r="126">
      <c r="E126" s="93"/>
    </row>
    <row r="127">
      <c r="E127" s="93"/>
    </row>
    <row r="128">
      <c r="E128" s="93"/>
    </row>
    <row r="129">
      <c r="E129" s="93"/>
    </row>
    <row r="130">
      <c r="E130" s="93"/>
    </row>
    <row r="131">
      <c r="E131" s="93"/>
    </row>
    <row r="132">
      <c r="E132" s="93"/>
    </row>
    <row r="133">
      <c r="E133" s="93"/>
    </row>
    <row r="134">
      <c r="E134" s="93"/>
    </row>
    <row r="135">
      <c r="E135" s="93"/>
    </row>
    <row r="136">
      <c r="E136" s="93"/>
    </row>
    <row r="137">
      <c r="E137" s="93"/>
    </row>
  </sheetData>
  <hyperlinks>
    <hyperlink r:id="rId1" ref="F4"/>
    <hyperlink r:id="rId2" ref="F5"/>
  </hyperlinks>
  <drawing r:id="rId3"/>
</worksheet>
</file>